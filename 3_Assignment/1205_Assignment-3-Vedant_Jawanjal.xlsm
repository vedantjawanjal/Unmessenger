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/>
  <workbookPr/>
  <mc:AlternateContent xmlns:mc="http://schemas.openxmlformats.org/markup-compatibility/2006">
    <mc:Choice Requires="x15">
      <x15ac:absPath xmlns:x15ac="http://schemas.microsoft.com/office/spreadsheetml/2010/11/ac" url="D:\DataisGood Internship\3_Assignment\"/>
    </mc:Choice>
  </mc:AlternateContent>
  <xr:revisionPtr revIDLastSave="0" documentId="8_{3A894854-F470-40CE-8A13-619391452E1F}" xr6:coauthVersionLast="36" xr6:coauthVersionMax="36" xr10:uidLastSave="{00000000-0000-0000-0000-000000000000}"/>
  <bookViews>
    <workbookView xWindow="0" yWindow="0" windowWidth="23040" windowHeight="8940" xr2:uid="{00000000-000D-0000-FFFF-FFFF00000000}"/>
  </bookViews>
  <sheets>
    <sheet name="Final_Clean_Data" sheetId="4" r:id="rId1"/>
    <sheet name="Unmessenger" sheetId="1" r:id="rId2"/>
  </sheets>
  <definedNames>
    <definedName name="ExternalData_1" localSheetId="0" hidden="1">Final_Clean_Data!$A$1:$I$39</definedName>
  </definedNames>
  <calcPr calcId="191029"/>
  <extLs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S9" i="1" l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8" i="1"/>
  <c r="K8" i="1"/>
  <c r="K11" i="1" l="1"/>
  <c r="K13" i="1"/>
  <c r="K36" i="1"/>
  <c r="K27" i="1"/>
  <c r="Q9" i="1"/>
  <c r="Q8" i="1"/>
  <c r="O44" i="1"/>
  <c r="O45" i="1"/>
  <c r="O46" i="1"/>
  <c r="O47" i="1"/>
  <c r="O48" i="1"/>
  <c r="O49" i="1"/>
  <c r="O50" i="1"/>
  <c r="O51" i="1"/>
  <c r="O52" i="1"/>
  <c r="O53" i="1"/>
  <c r="O54" i="1"/>
  <c r="O55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8" i="1"/>
  <c r="K28" i="1"/>
  <c r="K34" i="1"/>
  <c r="K31" i="1"/>
  <c r="K44" i="1"/>
  <c r="K24" i="1"/>
  <c r="K19" i="1"/>
  <c r="K25" i="1"/>
  <c r="K16" i="1"/>
  <c r="K17" i="1"/>
  <c r="K35" i="1"/>
  <c r="K12" i="1"/>
  <c r="K37" i="1"/>
  <c r="K42" i="1"/>
  <c r="K39" i="1"/>
  <c r="K40" i="1"/>
  <c r="K9" i="1"/>
  <c r="K43" i="1"/>
  <c r="K45" i="1"/>
  <c r="K14" i="1"/>
  <c r="U55" i="1" l="1"/>
  <c r="U47" i="1"/>
  <c r="U51" i="1"/>
  <c r="U53" i="1"/>
  <c r="U52" i="1"/>
  <c r="U46" i="1"/>
  <c r="U49" i="1"/>
  <c r="U48" i="1"/>
  <c r="U50" i="1"/>
  <c r="U54" i="1"/>
  <c r="L8" i="1"/>
  <c r="U8" i="1"/>
  <c r="P53" i="1"/>
  <c r="P50" i="1"/>
  <c r="P8" i="1"/>
  <c r="P51" i="1"/>
  <c r="P49" i="1"/>
  <c r="P47" i="1"/>
  <c r="P52" i="1"/>
  <c r="P54" i="1"/>
  <c r="P48" i="1"/>
  <c r="P55" i="1"/>
  <c r="G8" i="1"/>
  <c r="P46" i="1"/>
  <c r="P24" i="1"/>
  <c r="G24" i="1"/>
  <c r="U45" i="1"/>
  <c r="L45" i="1"/>
  <c r="L14" i="1"/>
  <c r="U14" i="1"/>
  <c r="U32" i="1"/>
  <c r="L32" i="1"/>
  <c r="P19" i="1"/>
  <c r="G19" i="1"/>
  <c r="G31" i="1"/>
  <c r="P31" i="1"/>
  <c r="G34" i="1"/>
  <c r="P34" i="1"/>
  <c r="P37" i="1"/>
  <c r="G37" i="1"/>
  <c r="G9" i="1"/>
  <c r="P9" i="1"/>
  <c r="P43" i="1"/>
  <c r="G43" i="1"/>
  <c r="P16" i="1"/>
  <c r="G16" i="1"/>
  <c r="G18" i="1"/>
  <c r="P18" i="1"/>
  <c r="P12" i="1"/>
  <c r="G12" i="1"/>
  <c r="P36" i="1"/>
  <c r="G36" i="1"/>
  <c r="L17" i="1"/>
  <c r="U17" i="1"/>
  <c r="L15" i="1"/>
  <c r="U15" i="1"/>
  <c r="U29" i="1"/>
  <c r="L29" i="1"/>
  <c r="P38" i="1"/>
  <c r="G38" i="1"/>
  <c r="G29" i="1"/>
  <c r="P29" i="1"/>
  <c r="L44" i="1"/>
  <c r="U44" i="1"/>
  <c r="P13" i="1"/>
  <c r="G13" i="1"/>
  <c r="L12" i="1"/>
  <c r="U12" i="1"/>
  <c r="U41" i="1"/>
  <c r="L41" i="1"/>
  <c r="G17" i="1"/>
  <c r="P17" i="1"/>
  <c r="L27" i="1"/>
  <c r="U27" i="1"/>
  <c r="G15" i="1"/>
  <c r="P15" i="1"/>
  <c r="L25" i="1"/>
  <c r="U25" i="1"/>
  <c r="L10" i="1"/>
  <c r="U10" i="1"/>
  <c r="G39" i="1"/>
  <c r="P39" i="1"/>
  <c r="L28" i="1"/>
  <c r="U28" i="1"/>
  <c r="U21" i="1"/>
  <c r="L21" i="1"/>
  <c r="L26" i="1"/>
  <c r="U26" i="1"/>
  <c r="G23" i="1"/>
  <c r="P23" i="1"/>
  <c r="L34" i="1"/>
  <c r="U34" i="1"/>
  <c r="P21" i="1"/>
  <c r="G21" i="1"/>
  <c r="G35" i="1"/>
  <c r="P35" i="1"/>
  <c r="G14" i="1"/>
  <c r="P14" i="1"/>
  <c r="P42" i="1"/>
  <c r="G42" i="1"/>
  <c r="L13" i="1"/>
  <c r="U13" i="1"/>
  <c r="P28" i="1"/>
  <c r="G28" i="1"/>
  <c r="L30" i="1"/>
  <c r="U30" i="1"/>
  <c r="L38" i="1"/>
  <c r="U38" i="1"/>
  <c r="L19" i="1"/>
  <c r="U19" i="1"/>
  <c r="G11" i="1"/>
  <c r="P11" i="1"/>
  <c r="L24" i="1"/>
  <c r="U24" i="1"/>
  <c r="G40" i="1"/>
  <c r="P40" i="1"/>
  <c r="U18" i="1"/>
  <c r="L18" i="1"/>
  <c r="P33" i="1"/>
  <c r="G33" i="1"/>
  <c r="U33" i="1"/>
  <c r="L33" i="1"/>
  <c r="P10" i="1"/>
  <c r="G10" i="1"/>
  <c r="L40" i="1"/>
  <c r="U40" i="1"/>
  <c r="U36" i="1"/>
  <c r="L36" i="1"/>
  <c r="U22" i="1"/>
  <c r="L22" i="1"/>
  <c r="L31" i="1"/>
  <c r="U31" i="1"/>
  <c r="L42" i="1"/>
  <c r="U42" i="1"/>
  <c r="G41" i="1"/>
  <c r="P41" i="1"/>
  <c r="G20" i="1"/>
  <c r="P20" i="1"/>
  <c r="U20" i="1"/>
  <c r="L20" i="1"/>
  <c r="U11" i="1"/>
  <c r="L11" i="1"/>
  <c r="G27" i="1"/>
  <c r="P27" i="1"/>
  <c r="L35" i="1"/>
  <c r="U35" i="1"/>
  <c r="L23" i="1"/>
  <c r="U23" i="1"/>
  <c r="P32" i="1"/>
  <c r="G32" i="1"/>
  <c r="P45" i="1"/>
  <c r="G45" i="1"/>
  <c r="G44" i="1"/>
  <c r="P44" i="1"/>
  <c r="U37" i="1"/>
  <c r="L37" i="1"/>
  <c r="P25" i="1"/>
  <c r="G25" i="1"/>
  <c r="U39" i="1"/>
  <c r="L39" i="1"/>
  <c r="G26" i="1"/>
  <c r="P26" i="1"/>
  <c r="L43" i="1"/>
  <c r="U43" i="1"/>
  <c r="L16" i="1"/>
  <c r="U16" i="1"/>
  <c r="L9" i="1"/>
  <c r="U9" i="1"/>
  <c r="G22" i="1"/>
  <c r="P22" i="1"/>
  <c r="G30" i="1"/>
  <c r="P3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67953E-38FD-4EB9-8241-C6BFE5E46FE7}" keepAlive="1" name="Query - Table_1" description="Connection to the 'Table_1' query in the workbook." type="5" refreshedVersion="6" background="1" saveData="1">
    <dbPr connection="Provider=Microsoft.Mashup.OleDb.1;Data Source=$Workbook$;Location=Table_1;Extended Properties=&quot;&quot;" command="SELECT * FROM [Table_1]"/>
  </connection>
  <connection id="2" xr16:uid="{24249611-9E12-4AC7-9FED-3B84926C8508}" keepAlive="1" name="Query - Table_2" description="Connection to the 'Table_2' query in the workbook." type="5" refreshedVersion="6" background="1" saveData="1">
    <dbPr connection="Provider=Microsoft.Mashup.OleDb.1;Data Source=$Workbook$;Location=Table_2;Extended Properties=&quot;&quot;" command="SELECT * FROM [Table_2]"/>
  </connection>
</connections>
</file>

<file path=xl/sharedStrings.xml><?xml version="1.0" encoding="utf-8"?>
<sst xmlns="http://schemas.openxmlformats.org/spreadsheetml/2006/main" count="413" uniqueCount="166">
  <si>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</si>
  <si>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</si>
  <si>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</si>
  <si>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</si>
  <si>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</si>
  <si>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</si>
  <si>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</si>
  <si>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</si>
  <si>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</si>
  <si>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</si>
  <si>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</si>
  <si>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</si>
  <si>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</si>
  <si>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</si>
  <si>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</si>
  <si>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</si>
  <si>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</si>
  <si>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</si>
  <si>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</si>
  <si>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</si>
  <si>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</si>
  <si>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</si>
  <si>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</si>
  <si>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</si>
  <si>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</si>
  <si>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</si>
  <si>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</si>
  <si>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</si>
  <si>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</si>
  <si>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</si>
  <si>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</si>
  <si>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SLES</t>
  </si>
  <si>
    <t>Rakesh Kumar</t>
  </si>
  <si>
    <t>DaTa SciENce</t>
  </si>
  <si>
    <t>rakesh.kumar@yahoo.com</t>
  </si>
  <si>
    <t>345 5th St, Jaipur, Rajasthan, India</t>
  </si>
  <si>
    <t>Aman Verma</t>
  </si>
  <si>
    <t>aman.verma@gmail.com</t>
  </si>
  <si>
    <t>Neha Gupta</t>
  </si>
  <si>
    <t>neha.gupta@hotmail.com</t>
  </si>
  <si>
    <t>901 7th St, Hyderabad, Telangana,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</si>
  <si>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</si>
  <si>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</si>
  <si>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</si>
  <si>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</si>
  <si>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</si>
  <si>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</si>
  <si>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</si>
  <si>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HR</t>
  </si>
  <si>
    <t>swati.singh@gmail.com</t>
  </si>
  <si>
    <t>654 12th St, Kolkata, West Bengal, India</t>
  </si>
  <si>
    <t>Finance/Accounts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</si>
  <si>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</si>
  <si>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</si>
  <si>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</si>
  <si>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</si>
  <si>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</si>
  <si>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</si>
  <si>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</si>
  <si>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</si>
  <si>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</si>
  <si>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</si>
  <si>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</si>
  <si>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</si>
  <si>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</si>
  <si>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</si>
  <si>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</si>
  <si>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</si>
  <si>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</si>
  <si>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</si>
  <si>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</si>
  <si>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</si>
  <si>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</si>
  <si>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</si>
  <si>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</si>
  <si>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</si>
  <si>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</si>
  <si>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</si>
  <si>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</si>
  <si>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</si>
  <si>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</si>
  <si>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</si>
  <si>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</si>
  <si>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</si>
  <si>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</si>
  <si>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</si>
  <si>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</si>
  <si>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</si>
  <si>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</si>
  <si>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neha.gupta@gmail.com</t>
  </si>
  <si>
    <t>Rajeev Sharma</t>
  </si>
  <si>
    <t>rajeev.sharma@yahoo.com</t>
  </si>
  <si>
    <t>789 25th St, Jaipur, Rajasthan,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</si>
  <si>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</si>
  <si>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</si>
  <si>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</si>
  <si>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</si>
  <si>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</si>
  <si>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</si>
  <si>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</si>
  <si>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</si>
  <si>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</si>
  <si>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</si>
  <si>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</si>
  <si>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</si>
  <si>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</si>
  <si>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</si>
  <si>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</si>
  <si>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</si>
  <si>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</si>
  <si>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</si>
  <si>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OperarYION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</si>
  <si>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</si>
  <si>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</si>
  <si>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</si>
  <si>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</si>
  <si>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</si>
  <si>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</si>
  <si>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</si>
  <si>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</si>
  <si>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</si>
  <si>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</si>
  <si>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</si>
  <si>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Arjun Singh</t>
  </si>
  <si>
    <t>arjun.singh@gmail.com</t>
  </si>
  <si>
    <t>Divya Patel</t>
  </si>
  <si>
    <t>divya.patel@yahoo.com</t>
  </si>
  <si>
    <t>567 38th St, Hyderabad, Telangana,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</si>
  <si>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</si>
  <si>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</si>
  <si>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</si>
  <si>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</si>
  <si>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</si>
  <si>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</si>
  <si>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</si>
  <si>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</si>
  <si>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</si>
  <si>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Missing Age</t>
  </si>
  <si>
    <t>Phone no</t>
  </si>
  <si>
    <t>Task 4</t>
  </si>
  <si>
    <t xml:space="preserve"> Deleted blank rows from Name and Email -&gt; select col -&gt; Find and select -&gt; Go to Blank -&gt; Ctrl + '-'</t>
  </si>
  <si>
    <t>Top 10 Employee having Highest Salary</t>
  </si>
  <si>
    <t>Task 5</t>
  </si>
  <si>
    <t>Task 1</t>
  </si>
  <si>
    <t>Task 2</t>
  </si>
  <si>
    <t>Task 3</t>
  </si>
  <si>
    <t>Task 6</t>
  </si>
  <si>
    <t>Where Name is there but no Email-Id then fill the blank with (support@unmessenger.com)</t>
  </si>
  <si>
    <t>Task 7</t>
  </si>
  <si>
    <t>In the Department column make the data proper with the useful functions and rename the wrong spelled words in the department column</t>
  </si>
  <si>
    <t>It Department</t>
  </si>
  <si>
    <t>Sales</t>
  </si>
  <si>
    <t xml:space="preserve">1. Select Data range -&gt; Data Ribbon -&gt; From Table/Range </t>
  </si>
  <si>
    <t xml:space="preserve">2. Replace Incorrect data with correct data </t>
  </si>
  <si>
    <t>3. Format the select it to Capitalize to make data proper</t>
  </si>
  <si>
    <t>Task 8</t>
  </si>
  <si>
    <t>Where Address is not there fill it with (Address not Available)</t>
  </si>
  <si>
    <t>91-7777777686</t>
  </si>
  <si>
    <t>91-8888888797</t>
  </si>
  <si>
    <t>Address not Available</t>
  </si>
  <si>
    <t>91-5555555464</t>
  </si>
  <si>
    <t>91-6666666575</t>
  </si>
  <si>
    <t>91-8765432018</t>
  </si>
  <si>
    <t>91-9999999908</t>
  </si>
  <si>
    <t>91-1234567799</t>
  </si>
  <si>
    <t>91-9876543119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</si>
</sst>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7" formatCode=";\9\1\-0000000000;"/>
  </numFmts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C6EFCE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2">
    <xf numFmtId="0" fontId="0" fillId="0" borderId="0" xfId="0" applyFont="1" applyAlignment="1"/>
    <xf numFmtId="0" fontId="2" fillId="2" borderId="1" xfId="0" applyFont="1" applyFill="1" applyBorder="1"/>
    <xf numFmtId="0" fontId="3" fillId="0" borderId="0" xfId="0" applyFont="1"/>
    <xf numFmtId="49" fontId="3" fillId="0" borderId="0" xfId="0" applyNumberFormat="1" applyFont="1"/>
    <xf numFmtId="0" fontId="5" fillId="4" borderId="0" xfId="0" applyFont="1" applyFill="1" applyAlignment="1"/>
    <xf numFmtId="49" fontId="2" fillId="2" borderId="1" xfId="0" applyNumberFormat="1" applyFont="1" applyFill="1" applyBorder="1"/>
    <xf numFmtId="49" fontId="0" fillId="0" borderId="0" xfId="0" applyNumberFormat="1" applyFont="1" applyAlignment="1"/>
    <xf numFmtId="0" fontId="4" fillId="3" borderId="0" xfId="1" applyAlignment="1"/>
    <xf numFmtId="167" fontId="3" fillId="0" borderId="0" xfId="0" applyNumberFormat="1" applyFont="1"/>
    <xf numFmtId="0" fontId="4" fillId="3" borderId="0" xfId="1" applyAlignment="1">
      <alignment wrapText="1"/>
    </xf>
    <xf numFmtId="0" fontId="1" fillId="0" borderId="0" xfId="0" applyFont="1" applyAlignment="1"/>
    <xf numFmtId="0" fontId="0" fillId="0" borderId="0" xfId="0" applyNumberFormat="1" applyFont="1" applyAlignment="1"/>
  </cellXfs>
  <cellStyles count="2">
    <cellStyle name="Good" xfId="1" builtinId="26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0" formatCode="@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22"/>
      <tableStyleElement type="firstRowStripe" dxfId="21"/>
      <tableStyleElement type="second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D68091D-49D9-4402-8D40-E0E9A288D6DC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Name" tableColumnId="2"/>
      <queryTableField id="3" name="Age" tableColumnId="3"/>
      <queryTableField id="4" name="Gender" tableColumnId="4"/>
      <queryTableField id="5" name="Department" tableColumnId="5"/>
      <queryTableField id="6" name="Email" tableColumnId="6"/>
      <queryTableField id="7" name="Phone" tableColumnId="7"/>
      <queryTableField id="8" name="Address" tableColumnId="8"/>
      <queryTableField id="9" name="Salary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4B53CA-AEF8-40B1-AF7A-5966F95364C3}" name="Table_2" displayName="Table_2" ref="A1:I39" tableType="queryTable" totalsRowShown="0">
  <autoFilter ref="A1:I39" xr:uid="{FBCDBFEA-FC38-45A8-829D-06B153D398A4}"/>
  <tableColumns count="9">
    <tableColumn id="1" xr3:uid="{EB8050F0-ABD2-457E-8767-AF1550453E79}" uniqueName="1" name="Id" queryTableFieldId="1"/>
    <tableColumn id="2" xr3:uid="{4D60A2A1-6AD0-4BBC-AF8C-9E093CD3E790}" uniqueName="2" name="Name" queryTableFieldId="2" dataDxfId="6"/>
    <tableColumn id="3" xr3:uid="{B65BFC44-40F9-4DF0-A528-8D31492E98E6}" uniqueName="3" name="Age" queryTableFieldId="3"/>
    <tableColumn id="4" xr3:uid="{A61351C8-ED06-40FA-BBA9-BCBA96E3948A}" uniqueName="4" name="Gender" queryTableFieldId="4" dataDxfId="5"/>
    <tableColumn id="5" xr3:uid="{F2EF0563-A708-460F-9ED9-9BDAFC9C98A7}" uniqueName="5" name="Department" queryTableFieldId="5" dataDxfId="4"/>
    <tableColumn id="6" xr3:uid="{676D04BE-BFBE-404E-A40B-CAD6AF1B369C}" uniqueName="6" name="Email" queryTableFieldId="6" dataDxfId="3"/>
    <tableColumn id="7" xr3:uid="{360D7C5E-A00F-43AB-A393-2C26D776F4B7}" uniqueName="7" name="Phone" queryTableFieldId="7" dataDxfId="2"/>
    <tableColumn id="8" xr3:uid="{2FAF9470-49BA-4AF6-8E72-A4F122D4EBD8}" uniqueName="8" name="Address" queryTableFieldId="8" dataDxfId="1"/>
    <tableColumn id="9" xr3:uid="{482DF99C-E54F-4FE5-8300-B56456B0FB2E}" uniqueName="9" name="Salar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:M55">
  <autoFilter ref="E7:M55" xr:uid="{D3E1EF9C-D8A3-42DD-83A6-8AC08904A57D}"/>
  <sortState ref="E8:M45">
    <sortCondition descending="1" ref="M7:M45"/>
  </sortState>
  <tableColumns count="9">
    <tableColumn id="1" xr3:uid="{00000000-0010-0000-0000-000001000000}" name="Id"/>
    <tableColumn id="2" xr3:uid="{00000000-0010-0000-0000-000002000000}" name="Name"/>
    <tableColumn id="3" xr3:uid="{00000000-0010-0000-0000-000003000000}" name="Age">
      <calculatedColumnFormula>IF(ISBLANK(Table_1[[#This Row],[Age]]),ROUNDDOWN(AVERAGE(Table_1[Age]),0), Table_1[[#This Row],[Age]])</calculatedColumnFormula>
    </tableColumn>
    <tableColumn id="4" xr3:uid="{00000000-0010-0000-0000-000004000000}" name="Gender"/>
    <tableColumn id="5" xr3:uid="{00000000-0010-0000-0000-000005000000}" name="Department" dataDxfId="19"/>
    <tableColumn id="6" xr3:uid="{00000000-0010-0000-0000-000006000000}" name="Email"/>
    <tableColumn id="7" xr3:uid="{00000000-0010-0000-0000-000007000000}" name="Phone"/>
    <tableColumn id="8" xr3:uid="{00000000-0010-0000-0000-000008000000}" name="Address"/>
    <tableColumn id="9" xr3:uid="{00000000-0010-0000-0000-000009000000}" name="Salary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DB6B3-008D-4302-9B44-9B6447F1A923}">
  <dimension ref="A1:I39"/>
  <sheetViews>
    <sheetView tabSelected="1" workbookViewId="0">
      <selection activeCell="E53" sqref="E53"/>
    </sheetView>
  </sheetViews>
  <sheetFormatPr defaultRowHeight="14.4" x14ac:dyDescent="0.3"/>
  <cols>
    <col min="1" max="1" width="4.88671875" bestFit="1" customWidth="1"/>
    <col min="2" max="2" width="13.109375" bestFit="1" customWidth="1"/>
    <col min="3" max="3" width="6.44140625" bestFit="1" customWidth="1"/>
    <col min="4" max="4" width="9.33203125" bestFit="1" customWidth="1"/>
    <col min="5" max="5" width="15.5546875" bestFit="1" customWidth="1"/>
    <col min="6" max="6" width="24.33203125" bestFit="1" customWidth="1"/>
    <col min="7" max="7" width="13.77734375" bestFit="1" customWidth="1"/>
    <col min="8" max="8" width="36.5546875" bestFit="1" customWidth="1"/>
    <col min="9" max="9" width="8.332031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9</v>
      </c>
      <c r="B2" s="11" t="s">
        <v>38</v>
      </c>
      <c r="C2">
        <v>27</v>
      </c>
      <c r="D2" s="11" t="s">
        <v>16</v>
      </c>
      <c r="E2" s="11" t="s">
        <v>151</v>
      </c>
      <c r="F2" s="11" t="s">
        <v>39</v>
      </c>
      <c r="G2" s="11" t="s">
        <v>157</v>
      </c>
      <c r="H2" s="11" t="s">
        <v>40</v>
      </c>
      <c r="I2">
        <v>49938</v>
      </c>
    </row>
    <row r="3" spans="1:9" x14ac:dyDescent="0.3">
      <c r="A3">
        <v>22</v>
      </c>
      <c r="B3" s="11" t="s">
        <v>68</v>
      </c>
      <c r="C3">
        <v>33</v>
      </c>
      <c r="D3" s="11" t="s">
        <v>10</v>
      </c>
      <c r="E3" s="11" t="s">
        <v>57</v>
      </c>
      <c r="F3" s="11" t="s">
        <v>69</v>
      </c>
      <c r="G3" s="11" t="s">
        <v>158</v>
      </c>
      <c r="H3" s="11" t="s">
        <v>70</v>
      </c>
      <c r="I3">
        <v>49681</v>
      </c>
    </row>
    <row r="4" spans="1:9" x14ac:dyDescent="0.3">
      <c r="A4">
        <v>26</v>
      </c>
      <c r="B4" s="11" t="s">
        <v>77</v>
      </c>
      <c r="C4">
        <v>31</v>
      </c>
      <c r="D4" s="11" t="s">
        <v>10</v>
      </c>
      <c r="E4" s="11" t="s">
        <v>51</v>
      </c>
      <c r="F4" s="11" t="s">
        <v>78</v>
      </c>
      <c r="G4" s="11"/>
      <c r="H4" s="11" t="s">
        <v>79</v>
      </c>
      <c r="I4">
        <v>45678</v>
      </c>
    </row>
    <row r="5" spans="1:9" x14ac:dyDescent="0.3">
      <c r="A5">
        <v>8</v>
      </c>
      <c r="B5" s="11" t="s">
        <v>36</v>
      </c>
      <c r="C5">
        <v>31</v>
      </c>
      <c r="D5" s="11" t="s">
        <v>10</v>
      </c>
      <c r="E5" s="11" t="s">
        <v>151</v>
      </c>
      <c r="F5" s="11" t="s">
        <v>37</v>
      </c>
      <c r="G5" s="11" t="s">
        <v>158</v>
      </c>
      <c r="H5" s="11" t="s">
        <v>159</v>
      </c>
      <c r="I5">
        <v>45450</v>
      </c>
    </row>
    <row r="6" spans="1:9" x14ac:dyDescent="0.3">
      <c r="A6">
        <v>31</v>
      </c>
      <c r="B6" s="11" t="s">
        <v>38</v>
      </c>
      <c r="C6">
        <v>27</v>
      </c>
      <c r="D6" s="11" t="s">
        <v>16</v>
      </c>
      <c r="E6" s="11" t="s">
        <v>151</v>
      </c>
      <c r="F6" s="11" t="s">
        <v>89</v>
      </c>
      <c r="G6" s="11" t="s">
        <v>160</v>
      </c>
      <c r="H6" s="11" t="s">
        <v>159</v>
      </c>
      <c r="I6">
        <v>41841</v>
      </c>
    </row>
    <row r="7" spans="1:9" x14ac:dyDescent="0.3">
      <c r="A7">
        <v>11</v>
      </c>
      <c r="B7" s="11" t="s">
        <v>41</v>
      </c>
      <c r="C7">
        <v>29</v>
      </c>
      <c r="D7" s="11" t="s">
        <v>16</v>
      </c>
      <c r="E7" s="11" t="s">
        <v>150</v>
      </c>
      <c r="F7" s="11" t="s">
        <v>42</v>
      </c>
      <c r="G7" s="11" t="s">
        <v>161</v>
      </c>
      <c r="H7" s="11" t="s">
        <v>43</v>
      </c>
      <c r="I7">
        <v>41836</v>
      </c>
    </row>
    <row r="8" spans="1:9" x14ac:dyDescent="0.3">
      <c r="A8">
        <v>17</v>
      </c>
      <c r="B8" s="11" t="s">
        <v>56</v>
      </c>
      <c r="C8">
        <v>26</v>
      </c>
      <c r="D8" s="11" t="s">
        <v>16</v>
      </c>
      <c r="E8" s="11" t="s">
        <v>57</v>
      </c>
      <c r="F8" s="11" t="s">
        <v>58</v>
      </c>
      <c r="G8" s="11" t="s">
        <v>162</v>
      </c>
      <c r="H8" s="11" t="s">
        <v>159</v>
      </c>
      <c r="I8">
        <v>40088</v>
      </c>
    </row>
    <row r="9" spans="1:9" x14ac:dyDescent="0.3">
      <c r="A9">
        <v>32</v>
      </c>
      <c r="B9" s="11" t="s">
        <v>90</v>
      </c>
      <c r="C9">
        <v>32</v>
      </c>
      <c r="D9" s="11" t="s">
        <v>10</v>
      </c>
      <c r="E9" s="11" t="s">
        <v>51</v>
      </c>
      <c r="F9" s="11" t="s">
        <v>91</v>
      </c>
      <c r="G9" s="11"/>
      <c r="H9" s="11" t="s">
        <v>92</v>
      </c>
      <c r="I9">
        <v>39835</v>
      </c>
    </row>
    <row r="10" spans="1:9" x14ac:dyDescent="0.3">
      <c r="A10">
        <v>38</v>
      </c>
      <c r="B10" s="11" t="s">
        <v>102</v>
      </c>
      <c r="C10">
        <v>28</v>
      </c>
      <c r="D10" s="11" t="s">
        <v>10</v>
      </c>
      <c r="E10" s="11" t="s">
        <v>107</v>
      </c>
      <c r="F10" s="11" t="s">
        <v>104</v>
      </c>
      <c r="G10" s="11" t="s">
        <v>158</v>
      </c>
      <c r="H10" s="11" t="s">
        <v>105</v>
      </c>
      <c r="I10">
        <v>37473</v>
      </c>
    </row>
    <row r="11" spans="1:9" x14ac:dyDescent="0.3">
      <c r="A11">
        <v>36</v>
      </c>
      <c r="B11" s="11" t="s">
        <v>99</v>
      </c>
      <c r="C11">
        <v>29</v>
      </c>
      <c r="D11" s="11" t="s">
        <v>10</v>
      </c>
      <c r="E11" s="11" t="s">
        <v>151</v>
      </c>
      <c r="F11" s="11" t="s">
        <v>100</v>
      </c>
      <c r="G11" s="11" t="s">
        <v>157</v>
      </c>
      <c r="H11" s="11" t="s">
        <v>101</v>
      </c>
      <c r="I11">
        <v>37358</v>
      </c>
    </row>
    <row r="12" spans="1:9" x14ac:dyDescent="0.3">
      <c r="A12">
        <v>21</v>
      </c>
      <c r="B12" s="11" t="s">
        <v>65</v>
      </c>
      <c r="C12">
        <v>26</v>
      </c>
      <c r="D12" s="11" t="s">
        <v>16</v>
      </c>
      <c r="E12" s="11" t="s">
        <v>53</v>
      </c>
      <c r="F12" s="11" t="s">
        <v>66</v>
      </c>
      <c r="G12" s="11"/>
      <c r="H12" s="11" t="s">
        <v>67</v>
      </c>
      <c r="I12">
        <v>35969</v>
      </c>
    </row>
    <row r="13" spans="1:9" x14ac:dyDescent="0.3">
      <c r="A13">
        <v>41</v>
      </c>
      <c r="B13" s="11" t="s">
        <v>114</v>
      </c>
      <c r="C13">
        <v>27</v>
      </c>
      <c r="D13" s="11" t="s">
        <v>16</v>
      </c>
      <c r="E13" s="11" t="s">
        <v>57</v>
      </c>
      <c r="F13" s="11" t="s">
        <v>115</v>
      </c>
      <c r="G13" s="11" t="s">
        <v>157</v>
      </c>
      <c r="H13" s="11" t="s">
        <v>116</v>
      </c>
      <c r="I13">
        <v>35747</v>
      </c>
    </row>
    <row r="14" spans="1:9" x14ac:dyDescent="0.3">
      <c r="A14">
        <v>4</v>
      </c>
      <c r="B14" s="11" t="s">
        <v>26</v>
      </c>
      <c r="C14">
        <v>33</v>
      </c>
      <c r="D14" s="11" t="s">
        <v>16</v>
      </c>
      <c r="E14" s="11" t="s">
        <v>151</v>
      </c>
      <c r="F14" s="11" t="s">
        <v>28</v>
      </c>
      <c r="G14" s="11" t="s">
        <v>29</v>
      </c>
      <c r="H14" s="11" t="s">
        <v>30</v>
      </c>
      <c r="I14">
        <v>33457</v>
      </c>
    </row>
    <row r="15" spans="1:9" x14ac:dyDescent="0.3">
      <c r="A15">
        <v>6</v>
      </c>
      <c r="B15" s="11" t="s">
        <v>32</v>
      </c>
      <c r="C15">
        <v>34</v>
      </c>
      <c r="D15" s="11" t="s">
        <v>10</v>
      </c>
      <c r="E15" s="11" t="s">
        <v>57</v>
      </c>
      <c r="F15" s="11" t="s">
        <v>34</v>
      </c>
      <c r="G15" s="11"/>
      <c r="H15" s="11" t="s">
        <v>35</v>
      </c>
      <c r="I15">
        <v>33418</v>
      </c>
    </row>
    <row r="16" spans="1:9" x14ac:dyDescent="0.3">
      <c r="A16">
        <v>42</v>
      </c>
      <c r="B16" s="11" t="s">
        <v>117</v>
      </c>
      <c r="C16">
        <v>29</v>
      </c>
      <c r="D16" s="11" t="s">
        <v>10</v>
      </c>
      <c r="E16" s="11" t="s">
        <v>151</v>
      </c>
      <c r="F16" s="11" t="s">
        <v>118</v>
      </c>
      <c r="G16" s="11"/>
      <c r="H16" s="11" t="s">
        <v>119</v>
      </c>
      <c r="I16">
        <v>32258</v>
      </c>
    </row>
    <row r="17" spans="1:9" x14ac:dyDescent="0.3">
      <c r="A17">
        <v>2</v>
      </c>
      <c r="B17" s="11" t="s">
        <v>15</v>
      </c>
      <c r="C17">
        <v>28</v>
      </c>
      <c r="D17" s="11" t="s">
        <v>16</v>
      </c>
      <c r="E17" s="11" t="s">
        <v>150</v>
      </c>
      <c r="F17" s="11" t="s">
        <v>18</v>
      </c>
      <c r="G17" s="11" t="s">
        <v>19</v>
      </c>
      <c r="H17" s="11" t="s">
        <v>20</v>
      </c>
      <c r="I17">
        <v>31169</v>
      </c>
    </row>
    <row r="18" spans="1:9" x14ac:dyDescent="0.3">
      <c r="A18">
        <v>43</v>
      </c>
      <c r="B18" s="11" t="s">
        <v>120</v>
      </c>
      <c r="C18">
        <v>26</v>
      </c>
      <c r="D18" s="11" t="s">
        <v>16</v>
      </c>
      <c r="E18" s="11" t="s">
        <v>51</v>
      </c>
      <c r="F18" s="11" t="s">
        <v>121</v>
      </c>
      <c r="G18" s="11" t="s">
        <v>160</v>
      </c>
      <c r="H18" s="11" t="s">
        <v>122</v>
      </c>
      <c r="I18">
        <v>31047</v>
      </c>
    </row>
    <row r="19" spans="1:9" x14ac:dyDescent="0.3">
      <c r="A19">
        <v>39</v>
      </c>
      <c r="B19" s="11" t="s">
        <v>106</v>
      </c>
      <c r="C19">
        <v>33</v>
      </c>
      <c r="D19" s="11" t="s">
        <v>16</v>
      </c>
      <c r="E19" s="11" t="s">
        <v>107</v>
      </c>
      <c r="F19" s="11" t="s">
        <v>108</v>
      </c>
      <c r="G19" s="11" t="s">
        <v>163</v>
      </c>
      <c r="H19" s="11" t="s">
        <v>109</v>
      </c>
      <c r="I19">
        <v>30628</v>
      </c>
    </row>
    <row r="20" spans="1:9" x14ac:dyDescent="0.3">
      <c r="A20">
        <v>34</v>
      </c>
      <c r="B20" s="11" t="s">
        <v>93</v>
      </c>
      <c r="C20">
        <v>30</v>
      </c>
      <c r="D20" s="11" t="s">
        <v>10</v>
      </c>
      <c r="E20" s="11" t="s">
        <v>57</v>
      </c>
      <c r="F20" s="11" t="s">
        <v>94</v>
      </c>
      <c r="G20" s="11"/>
      <c r="H20" s="11" t="s">
        <v>95</v>
      </c>
      <c r="I20">
        <v>29480</v>
      </c>
    </row>
    <row r="21" spans="1:9" x14ac:dyDescent="0.3">
      <c r="A21">
        <v>16</v>
      </c>
      <c r="B21" s="11" t="s">
        <v>52</v>
      </c>
      <c r="C21">
        <v>32</v>
      </c>
      <c r="D21" s="11" t="s">
        <v>10</v>
      </c>
      <c r="E21" s="11" t="s">
        <v>53</v>
      </c>
      <c r="F21" s="11" t="s">
        <v>54</v>
      </c>
      <c r="G21" s="11" t="s">
        <v>164</v>
      </c>
      <c r="H21" s="11" t="s">
        <v>55</v>
      </c>
      <c r="I21">
        <v>28476</v>
      </c>
    </row>
    <row r="22" spans="1:9" x14ac:dyDescent="0.3">
      <c r="A22">
        <v>49</v>
      </c>
      <c r="B22" s="11" t="s">
        <v>131</v>
      </c>
      <c r="C22">
        <v>29</v>
      </c>
      <c r="D22" s="11" t="s">
        <v>10</v>
      </c>
      <c r="E22" s="11" t="s">
        <v>151</v>
      </c>
      <c r="F22" s="11" t="s">
        <v>132</v>
      </c>
      <c r="G22" s="11" t="s">
        <v>160</v>
      </c>
      <c r="H22" s="11" t="s">
        <v>133</v>
      </c>
      <c r="I22">
        <v>23055</v>
      </c>
    </row>
    <row r="23" spans="1:9" x14ac:dyDescent="0.3">
      <c r="A23">
        <v>40</v>
      </c>
      <c r="B23" s="11" t="s">
        <v>110</v>
      </c>
      <c r="C23">
        <v>30</v>
      </c>
      <c r="D23" s="11" t="s">
        <v>10</v>
      </c>
      <c r="E23" s="11" t="s">
        <v>11</v>
      </c>
      <c r="F23" s="11" t="s">
        <v>112</v>
      </c>
      <c r="G23" s="11"/>
      <c r="H23" s="11" t="s">
        <v>113</v>
      </c>
      <c r="I23">
        <v>22018</v>
      </c>
    </row>
    <row r="24" spans="1:9" x14ac:dyDescent="0.3">
      <c r="A24">
        <v>14</v>
      </c>
      <c r="B24" s="11" t="s">
        <v>47</v>
      </c>
      <c r="C24">
        <v>28</v>
      </c>
      <c r="D24" s="11" t="s">
        <v>16</v>
      </c>
      <c r="E24" s="11" t="s">
        <v>107</v>
      </c>
      <c r="F24" s="11" t="s">
        <v>49</v>
      </c>
      <c r="G24" s="11"/>
      <c r="H24" s="11" t="s">
        <v>50</v>
      </c>
      <c r="I24">
        <v>21978</v>
      </c>
    </row>
    <row r="25" spans="1:9" x14ac:dyDescent="0.3">
      <c r="A25">
        <v>46</v>
      </c>
      <c r="B25" s="11" t="s">
        <v>125</v>
      </c>
      <c r="C25">
        <v>27</v>
      </c>
      <c r="D25" s="11" t="s">
        <v>16</v>
      </c>
      <c r="E25" s="11" t="s">
        <v>107</v>
      </c>
      <c r="F25" s="11" t="s">
        <v>126</v>
      </c>
      <c r="G25" s="11" t="s">
        <v>157</v>
      </c>
      <c r="H25" s="11" t="s">
        <v>127</v>
      </c>
      <c r="I25">
        <v>20205</v>
      </c>
    </row>
    <row r="26" spans="1:9" x14ac:dyDescent="0.3">
      <c r="A26">
        <v>50</v>
      </c>
      <c r="B26" s="11" t="s">
        <v>134</v>
      </c>
      <c r="C26">
        <v>30</v>
      </c>
      <c r="D26" s="11" t="s">
        <v>16</v>
      </c>
      <c r="E26" s="11" t="s">
        <v>151</v>
      </c>
      <c r="F26" s="11" t="s">
        <v>135</v>
      </c>
      <c r="G26" s="11"/>
      <c r="H26" s="11" t="s">
        <v>136</v>
      </c>
      <c r="I26">
        <v>18647</v>
      </c>
    </row>
    <row r="27" spans="1:9" x14ac:dyDescent="0.3">
      <c r="A27">
        <v>24</v>
      </c>
      <c r="B27" s="11" t="s">
        <v>71</v>
      </c>
      <c r="C27">
        <v>29</v>
      </c>
      <c r="D27" s="11" t="s">
        <v>10</v>
      </c>
      <c r="E27" s="11" t="s">
        <v>11</v>
      </c>
      <c r="F27" s="11" t="s">
        <v>72</v>
      </c>
      <c r="G27" s="11" t="s">
        <v>73</v>
      </c>
      <c r="H27" s="11" t="s">
        <v>159</v>
      </c>
      <c r="I27">
        <v>15853</v>
      </c>
    </row>
    <row r="28" spans="1:9" x14ac:dyDescent="0.3">
      <c r="A28">
        <v>48</v>
      </c>
      <c r="B28" s="11" t="s">
        <v>128</v>
      </c>
      <c r="C28">
        <v>32</v>
      </c>
      <c r="D28" s="11" t="s">
        <v>16</v>
      </c>
      <c r="E28" s="11" t="s">
        <v>150</v>
      </c>
      <c r="F28" s="11" t="s">
        <v>129</v>
      </c>
      <c r="G28" s="11" t="s">
        <v>161</v>
      </c>
      <c r="H28" s="11" t="s">
        <v>130</v>
      </c>
      <c r="I28">
        <v>15531</v>
      </c>
    </row>
    <row r="29" spans="1:9" x14ac:dyDescent="0.3">
      <c r="A29">
        <v>35</v>
      </c>
      <c r="B29" s="11" t="s">
        <v>96</v>
      </c>
      <c r="C29">
        <v>29</v>
      </c>
      <c r="D29" s="11" t="s">
        <v>16</v>
      </c>
      <c r="E29" s="11" t="s">
        <v>150</v>
      </c>
      <c r="F29" s="11" t="s">
        <v>97</v>
      </c>
      <c r="G29" s="11" t="s">
        <v>160</v>
      </c>
      <c r="H29" s="11" t="s">
        <v>98</v>
      </c>
      <c r="I29">
        <v>14254</v>
      </c>
    </row>
    <row r="30" spans="1:9" x14ac:dyDescent="0.3">
      <c r="A30">
        <v>12</v>
      </c>
      <c r="B30" s="11" t="s">
        <v>44</v>
      </c>
      <c r="C30">
        <v>29</v>
      </c>
      <c r="D30" s="11" t="s">
        <v>10</v>
      </c>
      <c r="E30" s="11" t="s">
        <v>150</v>
      </c>
      <c r="F30" s="11" t="s">
        <v>45</v>
      </c>
      <c r="G30" s="11" t="s">
        <v>160</v>
      </c>
      <c r="H30" s="11" t="s">
        <v>46</v>
      </c>
      <c r="I30">
        <v>11901</v>
      </c>
    </row>
    <row r="31" spans="1:9" x14ac:dyDescent="0.3">
      <c r="A31">
        <v>29</v>
      </c>
      <c r="B31" s="11" t="s">
        <v>86</v>
      </c>
      <c r="C31">
        <v>26</v>
      </c>
      <c r="D31" s="11" t="s">
        <v>16</v>
      </c>
      <c r="E31" s="11" t="s">
        <v>150</v>
      </c>
      <c r="F31" s="11" t="s">
        <v>87</v>
      </c>
      <c r="G31" s="11" t="s">
        <v>157</v>
      </c>
      <c r="H31" s="11" t="s">
        <v>88</v>
      </c>
      <c r="I31">
        <v>11342</v>
      </c>
    </row>
    <row r="32" spans="1:9" x14ac:dyDescent="0.3">
      <c r="A32">
        <v>3</v>
      </c>
      <c r="B32" s="11" t="s">
        <v>21</v>
      </c>
      <c r="C32">
        <v>27</v>
      </c>
      <c r="D32" s="11" t="s">
        <v>10</v>
      </c>
      <c r="E32" s="11" t="s">
        <v>150</v>
      </c>
      <c r="F32" s="11" t="s">
        <v>23</v>
      </c>
      <c r="G32" s="11" t="s">
        <v>24</v>
      </c>
      <c r="H32" s="11" t="s">
        <v>25</v>
      </c>
      <c r="I32">
        <v>11116</v>
      </c>
    </row>
    <row r="33" spans="1:9" x14ac:dyDescent="0.3">
      <c r="A33">
        <v>27</v>
      </c>
      <c r="B33" s="11" t="s">
        <v>80</v>
      </c>
      <c r="C33">
        <v>28</v>
      </c>
      <c r="D33" s="11" t="s">
        <v>16</v>
      </c>
      <c r="E33" s="11" t="s">
        <v>53</v>
      </c>
      <c r="F33" s="11" t="s">
        <v>81</v>
      </c>
      <c r="G33" s="11" t="s">
        <v>157</v>
      </c>
      <c r="H33" s="11" t="s">
        <v>82</v>
      </c>
      <c r="I33">
        <v>8022</v>
      </c>
    </row>
    <row r="34" spans="1:9" x14ac:dyDescent="0.3">
      <c r="A34">
        <v>25</v>
      </c>
      <c r="B34" s="11" t="s">
        <v>74</v>
      </c>
      <c r="C34">
        <v>29</v>
      </c>
      <c r="D34" s="11" t="s">
        <v>16</v>
      </c>
      <c r="E34" s="11" t="s">
        <v>150</v>
      </c>
      <c r="F34" s="11" t="s">
        <v>75</v>
      </c>
      <c r="G34" s="11" t="s">
        <v>160</v>
      </c>
      <c r="H34" s="11" t="s">
        <v>76</v>
      </c>
      <c r="I34">
        <v>6926</v>
      </c>
    </row>
    <row r="35" spans="1:9" x14ac:dyDescent="0.3">
      <c r="A35">
        <v>1</v>
      </c>
      <c r="B35" s="11" t="s">
        <v>9</v>
      </c>
      <c r="C35">
        <v>32</v>
      </c>
      <c r="D35" s="11" t="s">
        <v>10</v>
      </c>
      <c r="E35" s="11" t="s">
        <v>11</v>
      </c>
      <c r="F35" s="11" t="s">
        <v>12</v>
      </c>
      <c r="G35" s="11" t="s">
        <v>13</v>
      </c>
      <c r="H35" s="11" t="s">
        <v>14</v>
      </c>
      <c r="I35">
        <v>4553</v>
      </c>
    </row>
    <row r="36" spans="1:9" x14ac:dyDescent="0.3">
      <c r="A36">
        <v>28</v>
      </c>
      <c r="B36" s="11" t="s">
        <v>83</v>
      </c>
      <c r="C36">
        <v>34</v>
      </c>
      <c r="D36" s="11" t="s">
        <v>10</v>
      </c>
      <c r="E36" s="11" t="s">
        <v>57</v>
      </c>
      <c r="F36" s="11" t="s">
        <v>84</v>
      </c>
      <c r="G36" s="11" t="s">
        <v>158</v>
      </c>
      <c r="H36" s="11" t="s">
        <v>85</v>
      </c>
      <c r="I36">
        <v>3484</v>
      </c>
    </row>
    <row r="37" spans="1:9" x14ac:dyDescent="0.3">
      <c r="A37">
        <v>19</v>
      </c>
      <c r="B37" s="11" t="s">
        <v>62</v>
      </c>
      <c r="C37">
        <v>30</v>
      </c>
      <c r="D37" s="11" t="s">
        <v>16</v>
      </c>
      <c r="E37" s="11" t="s">
        <v>57</v>
      </c>
      <c r="F37" s="11" t="s">
        <v>63</v>
      </c>
      <c r="G37" s="11" t="s">
        <v>160</v>
      </c>
      <c r="H37" s="11" t="s">
        <v>64</v>
      </c>
      <c r="I37">
        <v>3337</v>
      </c>
    </row>
    <row r="38" spans="1:9" x14ac:dyDescent="0.3">
      <c r="A38">
        <v>45</v>
      </c>
      <c r="B38" s="11" t="s">
        <v>123</v>
      </c>
      <c r="C38">
        <v>31</v>
      </c>
      <c r="D38" s="11" t="s">
        <v>10</v>
      </c>
      <c r="E38" s="11" t="s">
        <v>57</v>
      </c>
      <c r="F38" s="11" t="s">
        <v>124</v>
      </c>
      <c r="G38" s="11" t="s">
        <v>158</v>
      </c>
      <c r="H38" s="11" t="s">
        <v>159</v>
      </c>
      <c r="I38">
        <v>3108</v>
      </c>
    </row>
    <row r="39" spans="1:9" x14ac:dyDescent="0.3">
      <c r="A39">
        <v>18</v>
      </c>
      <c r="B39" s="11" t="s">
        <v>59</v>
      </c>
      <c r="C39">
        <v>28</v>
      </c>
      <c r="D39" s="11" t="s">
        <v>10</v>
      </c>
      <c r="E39" s="11" t="s">
        <v>57</v>
      </c>
      <c r="F39" s="11" t="s">
        <v>60</v>
      </c>
      <c r="G39" s="11" t="s">
        <v>165</v>
      </c>
      <c r="H39" s="11" t="s">
        <v>61</v>
      </c>
      <c r="I39">
        <v>2949</v>
      </c>
    </row>
  </sheetData>
  <conditionalFormatting sqref="I1:I1048576">
    <cfRule type="top10" dxfId="0" priority="1" rank="10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E1:V998"/>
  <sheetViews>
    <sheetView topLeftCell="C16" workbookViewId="0">
      <selection activeCell="E7" sqref="E7:M45"/>
    </sheetView>
  </sheetViews>
  <sheetFormatPr defaultColWidth="14.44140625" defaultRowHeight="15" customHeight="1" x14ac:dyDescent="0.3"/>
  <cols>
    <col min="1" max="4" width="8.6640625" customWidth="1"/>
    <col min="5" max="5" width="4.44140625" bestFit="1" customWidth="1"/>
    <col min="6" max="6" width="13.109375" bestFit="1" customWidth="1"/>
    <col min="7" max="7" width="6.109375" bestFit="1" customWidth="1"/>
    <col min="8" max="8" width="8.6640625" bestFit="1" customWidth="1"/>
    <col min="9" max="9" width="15.5546875" style="6" bestFit="1" customWidth="1"/>
    <col min="10" max="10" width="24.33203125" bestFit="1" customWidth="1"/>
    <col min="11" max="11" width="13.77734375" bestFit="1" customWidth="1"/>
    <col min="12" max="12" width="36.5546875" bestFit="1" customWidth="1"/>
    <col min="13" max="13" width="33" bestFit="1" customWidth="1"/>
    <col min="14" max="14" width="8.6640625" customWidth="1"/>
    <col min="15" max="15" width="13.109375" bestFit="1" customWidth="1"/>
    <col min="16" max="16" width="10.44140625" bestFit="1" customWidth="1"/>
    <col min="17" max="17" width="8.6640625" customWidth="1"/>
    <col min="18" max="18" width="82.6640625" bestFit="1" customWidth="1"/>
    <col min="19" max="19" width="75.5546875" bestFit="1" customWidth="1"/>
    <col min="20" max="20" width="87.77734375" bestFit="1" customWidth="1"/>
    <col min="21" max="21" width="53.21875" bestFit="1" customWidth="1"/>
    <col min="22" max="26" width="8.6640625" customWidth="1"/>
  </cols>
  <sheetData>
    <row r="1" spans="5:22" ht="14.25" customHeight="1" x14ac:dyDescent="0.3"/>
    <row r="2" spans="5:22" ht="14.25" customHeight="1" x14ac:dyDescent="0.3"/>
    <row r="3" spans="5:22" ht="14.25" customHeight="1" x14ac:dyDescent="0.3"/>
    <row r="4" spans="5:22" ht="14.25" customHeight="1" x14ac:dyDescent="0.3"/>
    <row r="5" spans="5:22" ht="14.25" customHeight="1" x14ac:dyDescent="0.3">
      <c r="M5" s="4" t="s">
        <v>142</v>
      </c>
    </row>
    <row r="6" spans="5:22" ht="14.25" customHeight="1" x14ac:dyDescent="0.3">
      <c r="M6" s="7" t="s">
        <v>141</v>
      </c>
      <c r="O6" s="4" t="s">
        <v>143</v>
      </c>
      <c r="P6" s="4" t="s">
        <v>144</v>
      </c>
      <c r="Q6" s="4" t="s">
        <v>145</v>
      </c>
      <c r="R6" s="4" t="s">
        <v>139</v>
      </c>
      <c r="S6" s="4" t="s">
        <v>146</v>
      </c>
      <c r="T6" s="4" t="s">
        <v>148</v>
      </c>
      <c r="U6" s="4" t="s">
        <v>155</v>
      </c>
      <c r="V6" s="4"/>
    </row>
    <row r="7" spans="5:22" ht="14.25" customHeight="1" x14ac:dyDescent="0.3">
      <c r="E7" s="1" t="s">
        <v>0</v>
      </c>
      <c r="F7" s="1" t="s">
        <v>1</v>
      </c>
      <c r="G7" s="1" t="s">
        <v>2</v>
      </c>
      <c r="H7" s="1" t="s">
        <v>3</v>
      </c>
      <c r="I7" s="5" t="s">
        <v>4</v>
      </c>
      <c r="J7" s="1" t="s">
        <v>5</v>
      </c>
      <c r="K7" s="1" t="s">
        <v>6</v>
      </c>
      <c r="L7" s="1" t="s">
        <v>7</v>
      </c>
      <c r="M7" s="1" t="s">
        <v>8</v>
      </c>
      <c r="O7" s="7" t="s">
        <v>1</v>
      </c>
      <c r="P7" s="7" t="s">
        <v>137</v>
      </c>
      <c r="Q7" s="7" t="s">
        <v>138</v>
      </c>
      <c r="R7" s="7" t="s">
        <v>140</v>
      </c>
      <c r="S7" s="7" t="s">
        <v>147</v>
      </c>
      <c r="T7" s="9" t="s">
        <v>149</v>
      </c>
      <c r="U7" s="9" t="s">
        <v>156</v>
      </c>
    </row>
    <row r="8" spans="5:22" ht="14.25" customHeight="1" x14ac:dyDescent="0.3">
      <c r="E8" s="2">
        <v>9</v>
      </c>
      <c r="F8" s="2" t="s">
        <v>38</v>
      </c>
      <c r="G8">
        <f ca="1">IF(ISBLANK(Table_1[[#This Row],[Age]]),ROUNDDOWN(AVERAGE(Table_1[Age]),0), Table_1[[#This Row],[Age]])</f>
        <v>27</v>
      </c>
      <c r="H8" s="2" t="s">
        <v>16</v>
      </c>
      <c r="I8" s="3" t="s">
        <v>31</v>
      </c>
      <c r="J8" s="2" t="s">
        <v>39</v>
      </c>
      <c r="K8" s="8">
        <f>91-7777777777</f>
        <v>-7777777686</v>
      </c>
      <c r="L8" t="str">
        <f ca="1">IF(ISBLANK(Table_1[[#This Row],[Address]]), "Address not Available", Table_1[[#This Row],[Address]])</f>
        <v>901 7th St, Hyderabad, Telangana, India</v>
      </c>
      <c r="M8" s="2">
        <v>49938</v>
      </c>
      <c r="O8" t="str">
        <f>PROPER(IF(ISBLANK(Table_1[[#This Row],[Name]]),SUBSTITUTE(LEFT(J8,FIND("@",J8)-1),".", " "),Table_1[[#This Row],[Name]]))</f>
        <v>Neha Gupta</v>
      </c>
      <c r="P8">
        <f ca="1">IF(ISBLANK(Table_1[[#This Row],[Age]]),ROUNDDOWN(AVERAGE(Table_1[Age]),0), Table_1[[#This Row],[Age]])</f>
        <v>27</v>
      </c>
      <c r="Q8" t="e">
        <f>Ist</f>
        <v>#NAME?</v>
      </c>
      <c r="S8" t="str">
        <f>IF(AND(Table_1[[#This Row],[Name]]&lt;&gt;"", Table_1[[#This Row],[Email]]=""), "support@unmessenger.com", Table_1[[#This Row],[Email]])</f>
        <v>neha.gupta@hotmail.com</v>
      </c>
      <c r="T8" s="10" t="s">
        <v>152</v>
      </c>
      <c r="U8" t="str">
        <f ca="1">IF(ISBLANK(Table_1[[#This Row],[Address]]), "Address not Available", Table_1[[#This Row],[Address]])</f>
        <v>901 7th St, Hyderabad, Telangana, India</v>
      </c>
    </row>
    <row r="9" spans="5:22" ht="14.25" customHeight="1" x14ac:dyDescent="0.3">
      <c r="E9" s="2">
        <v>22</v>
      </c>
      <c r="F9" s="2" t="s">
        <v>68</v>
      </c>
      <c r="G9">
        <f ca="1">IF(ISBLANK(Table_1[[#This Row],[Age]]),ROUNDDOWN(AVERAGE(Table_1[Age]),0), Table_1[[#This Row],[Age]])</f>
        <v>33</v>
      </c>
      <c r="H9" s="2" t="s">
        <v>10</v>
      </c>
      <c r="I9" s="3" t="s">
        <v>57</v>
      </c>
      <c r="J9" s="2" t="s">
        <v>69</v>
      </c>
      <c r="K9" s="2">
        <f>91-8888888888</f>
        <v>-8888888797</v>
      </c>
      <c r="L9" t="str">
        <f ca="1">IF(ISBLANK(Table_1[[#This Row],[Address]]), "Address not Available", Table_1[[#This Row],[Address]])</f>
        <v>901 17th St, Pune, Maharashtra, India</v>
      </c>
      <c r="M9" s="2">
        <v>49681</v>
      </c>
      <c r="O9" t="str">
        <f>PROPER(IF(ISBLANK(Table_1[[#This Row],[Name]]),SUBSTITUTE(LEFT(J9,FIND("@",J9)-1),".", " "),Table_1[[#This Row],[Name]]))</f>
        <v>Manoj Kumar</v>
      </c>
      <c r="P9">
        <f ca="1">IF(ISBLANK(Table_1[[#This Row],[Age]]),ROUNDDOWN(AVERAGE(Table_1[Age]),0), Table_1[[#This Row],[Age]])</f>
        <v>33</v>
      </c>
      <c r="Q9" t="b">
        <f>ISTEXT(K8)</f>
        <v>0</v>
      </c>
      <c r="S9" t="str">
        <f>IF(AND(Table_1[[#This Row],[Name]]&lt;&gt;"", Table_1[[#This Row],[Email]]=""), "support@unmessenger.com", Table_1[[#This Row],[Email]])</f>
        <v>manoj.kumar@yahoo.com</v>
      </c>
      <c r="T9" s="10" t="s">
        <v>153</v>
      </c>
      <c r="U9" t="str">
        <f ca="1">IF(ISBLANK(Table_1[[#This Row],[Address]]), "Address not Available", Table_1[[#This Row],[Address]])</f>
        <v>901 17th St, Pune, Maharashtra, India</v>
      </c>
    </row>
    <row r="10" spans="5:22" ht="14.25" customHeight="1" x14ac:dyDescent="0.3">
      <c r="E10" s="2">
        <v>26</v>
      </c>
      <c r="F10" s="2" t="s">
        <v>77</v>
      </c>
      <c r="G10">
        <f ca="1">IF(ISBLANK(Table_1[[#This Row],[Age]]),ROUNDDOWN(AVERAGE(Table_1[Age]),0), Table_1[[#This Row],[Age]])</f>
        <v>31</v>
      </c>
      <c r="H10" s="2" t="s">
        <v>10</v>
      </c>
      <c r="I10" s="3" t="s">
        <v>51</v>
      </c>
      <c r="J10" s="2" t="s">
        <v>78</v>
      </c>
      <c r="K10" s="2"/>
      <c r="L10" t="str">
        <f ca="1">IF(ISBLANK(Table_1[[#This Row],[Address]]), "Address not Available", Table_1[[#This Row],[Address]])</f>
        <v>789 20th St, Mumbai, Maharashtra, India</v>
      </c>
      <c r="M10" s="2">
        <v>45678</v>
      </c>
      <c r="O10" t="str">
        <f>PROPER(IF(ISBLANK(Table_1[[#This Row],[Name]]),SUBSTITUTE(LEFT(J10,FIND("@",J10)-1),".", " "),Table_1[[#This Row],[Name]]))</f>
        <v>Akash Patel</v>
      </c>
      <c r="P10">
        <f ca="1">IF(ISBLANK(Table_1[[#This Row],[Age]]),ROUNDDOWN(AVERAGE(Table_1[Age]),0), Table_1[[#This Row],[Age]])</f>
        <v>31</v>
      </c>
      <c r="S10" t="str">
        <f>IF(AND(Table_1[[#This Row],[Name]]&lt;&gt;"", Table_1[[#This Row],[Email]]=""), "support@unmessenger.com", Table_1[[#This Row],[Email]])</f>
        <v>akash.patel@hotmail.com</v>
      </c>
      <c r="T10" s="10" t="s">
        <v>154</v>
      </c>
      <c r="U10" t="str">
        <f ca="1">IF(ISBLANK(Table_1[[#This Row],[Address]]), "Address not Available", Table_1[[#This Row],[Address]])</f>
        <v>789 20th St, Mumbai, Maharashtra, India</v>
      </c>
    </row>
    <row r="11" spans="5:22" ht="14.25" customHeight="1" x14ac:dyDescent="0.3">
      <c r="E11" s="2">
        <v>8</v>
      </c>
      <c r="F11" s="2" t="s">
        <v>36</v>
      </c>
      <c r="G11">
        <f ca="1">IF(ISBLANK(Table_1[[#This Row],[Age]]),ROUNDDOWN(AVERAGE(Table_1[Age]),0), Table_1[[#This Row],[Age]])</f>
        <v>31</v>
      </c>
      <c r="H11" s="2" t="s">
        <v>10</v>
      </c>
      <c r="I11" s="3" t="s">
        <v>27</v>
      </c>
      <c r="J11" s="2" t="s">
        <v>37</v>
      </c>
      <c r="K11" s="3">
        <f>91-8888888888</f>
        <v>-8888888797</v>
      </c>
      <c r="L11" t="str">
        <f ca="1">IF(ISBLANK(Table_1[[#This Row],[Address]]), "Address not Available", Table_1[[#This Row],[Address]])</f>
        <v>Address not Available</v>
      </c>
      <c r="M11" s="2">
        <v>45450</v>
      </c>
      <c r="O11" t="str">
        <f>PROPER(IF(ISBLANK(Table_1[[#This Row],[Name]]),SUBSTITUTE(LEFT(J11,FIND("@",J11)-1),".", " "),Table_1[[#This Row],[Name]]))</f>
        <v>Aman Verma</v>
      </c>
      <c r="P11">
        <f ca="1">IF(ISBLANK(Table_1[[#This Row],[Age]]),ROUNDDOWN(AVERAGE(Table_1[Age]),0), Table_1[[#This Row],[Age]])</f>
        <v>31</v>
      </c>
      <c r="S11" t="str">
        <f>IF(AND(Table_1[[#This Row],[Name]]&lt;&gt;"", Table_1[[#This Row],[Email]]=""), "support@unmessenger.com", Table_1[[#This Row],[Email]])</f>
        <v>aman.verma@gmail.com</v>
      </c>
      <c r="U11" t="str">
        <f ca="1">IF(ISBLANK(Table_1[[#This Row],[Address]]), "Address not Available", Table_1[[#This Row],[Address]])</f>
        <v>Address not Available</v>
      </c>
    </row>
    <row r="12" spans="5:22" ht="14.25" customHeight="1" x14ac:dyDescent="0.3">
      <c r="E12" s="2">
        <v>31</v>
      </c>
      <c r="F12" s="2" t="s">
        <v>38</v>
      </c>
      <c r="G12">
        <f ca="1">IF(ISBLANK(Table_1[[#This Row],[Age]]),ROUNDDOWN(AVERAGE(Table_1[Age]),0), Table_1[[#This Row],[Age]])</f>
        <v>27</v>
      </c>
      <c r="H12" s="2" t="s">
        <v>16</v>
      </c>
      <c r="I12" s="3" t="s">
        <v>31</v>
      </c>
      <c r="J12" s="2" t="s">
        <v>89</v>
      </c>
      <c r="K12" s="2">
        <f>91-5555555555</f>
        <v>-5555555464</v>
      </c>
      <c r="L12" t="str">
        <f ca="1">IF(ISBLANK(Table_1[[#This Row],[Address]]), "Address not Available", Table_1[[#This Row],[Address]])</f>
        <v>Address not Available</v>
      </c>
      <c r="M12" s="2">
        <v>41841</v>
      </c>
      <c r="O12" t="str">
        <f>PROPER(IF(ISBLANK(Table_1[[#This Row],[Name]]),SUBSTITUTE(LEFT(#REF!,FIND("@",#REF!)-1),".", " "),Table_1[[#This Row],[Name]]))</f>
        <v>Neha Gupta</v>
      </c>
      <c r="P12">
        <f ca="1">IF(ISBLANK(Table_1[[#This Row],[Age]]),ROUNDDOWN(AVERAGE(Table_1[Age]),0), Table_1[[#This Row],[Age]])</f>
        <v>27</v>
      </c>
      <c r="S12" t="str">
        <f>IF(AND(Table_1[[#This Row],[Name]]&lt;&gt;"", Table_1[[#This Row],[Email]]=""), "support@unmessenger.com", Table_1[[#This Row],[Email]])</f>
        <v>neha.gupta@gmail.com</v>
      </c>
      <c r="U12" t="str">
        <f ca="1">IF(ISBLANK(Table_1[[#This Row],[Address]]), "Address not Available", Table_1[[#This Row],[Address]])</f>
        <v>Address not Available</v>
      </c>
    </row>
    <row r="13" spans="5:22" ht="14.25" customHeight="1" x14ac:dyDescent="0.3">
      <c r="E13" s="2">
        <v>11</v>
      </c>
      <c r="F13" s="2" t="s">
        <v>41</v>
      </c>
      <c r="G13">
        <f ca="1">IF(ISBLANK(Table_1[[#This Row],[Age]]),ROUNDDOWN(AVERAGE(Table_1[Age]),0), Table_1[[#This Row],[Age]])</f>
        <v>29</v>
      </c>
      <c r="H13" s="2" t="s">
        <v>16</v>
      </c>
      <c r="I13" s="3" t="s">
        <v>17</v>
      </c>
      <c r="J13" s="2" t="s">
        <v>42</v>
      </c>
      <c r="K13" s="2">
        <f>91-6666666666</f>
        <v>-6666666575</v>
      </c>
      <c r="L13" t="str">
        <f ca="1">IF(ISBLANK(Table_1[[#This Row],[Address]]), "Address not Available", Table_1[[#This Row],[Address]])</f>
        <v>567 9th St, Ahmedabad, Gujarat, India</v>
      </c>
      <c r="M13" s="2">
        <v>41836</v>
      </c>
      <c r="O13" t="str">
        <f>PROPER(IF(ISBLANK(Table_1[[#This Row],[Name]]),SUBSTITUTE(LEFT(J12,FIND("@",J12)-1),".", " "),Table_1[[#This Row],[Name]]))</f>
        <v>Vinita Kapoor</v>
      </c>
      <c r="P13">
        <f ca="1">IF(ISBLANK(Table_1[[#This Row],[Age]]),ROUNDDOWN(AVERAGE(Table_1[Age]),0), Table_1[[#This Row],[Age]])</f>
        <v>29</v>
      </c>
      <c r="S13" t="str">
        <f>IF(AND(Table_1[[#This Row],[Name]]&lt;&gt;"", Table_1[[#This Row],[Email]]=""), "support@unmessenger.com", Table_1[[#This Row],[Email]])</f>
        <v>vinita.kapoor@yahoo.com</v>
      </c>
      <c r="U13" t="str">
        <f ca="1">IF(ISBLANK(Table_1[[#This Row],[Address]]), "Address not Available", Table_1[[#This Row],[Address]])</f>
        <v>567 9th St, Ahmedabad, Gujarat, India</v>
      </c>
    </row>
    <row r="14" spans="5:22" ht="14.25" customHeight="1" x14ac:dyDescent="0.3">
      <c r="E14" s="2">
        <v>17</v>
      </c>
      <c r="F14" s="2" t="s">
        <v>56</v>
      </c>
      <c r="G14">
        <f ca="1">IF(ISBLANK(Table_1[[#This Row],[Age]]),ROUNDDOWN(AVERAGE(Table_1[Age]),0), Table_1[[#This Row],[Age]])</f>
        <v>26</v>
      </c>
      <c r="H14" s="2" t="s">
        <v>16</v>
      </c>
      <c r="I14" s="3" t="s">
        <v>57</v>
      </c>
      <c r="J14" s="2" t="s">
        <v>58</v>
      </c>
      <c r="K14" s="2">
        <f>91-8765432109</f>
        <v>-8765432018</v>
      </c>
      <c r="L14" t="str">
        <f ca="1">IF(ISBLANK(Table_1[[#This Row],[Address]]), "Address not Available", Table_1[[#This Row],[Address]])</f>
        <v>Address not Available</v>
      </c>
      <c r="M14" s="2">
        <v>40088</v>
      </c>
      <c r="O14" t="str">
        <f>PROPER(IF(ISBLANK(Table_1[[#This Row],[Name]]),SUBSTITUTE(LEFT(#REF!,FIND("@",#REF!)-1),".", " "),Table_1[[#This Row],[Name]]))</f>
        <v>Priyanka Jain</v>
      </c>
      <c r="P14">
        <f ca="1">IF(ISBLANK(Table_1[[#This Row],[Age]]),ROUNDDOWN(AVERAGE(Table_1[Age]),0), Table_1[[#This Row],[Age]])</f>
        <v>26</v>
      </c>
      <c r="S14" t="str">
        <f>IF(AND(Table_1[[#This Row],[Name]]&lt;&gt;"", Table_1[[#This Row],[Email]]=""), "support@unmessenger.com", Table_1[[#This Row],[Email]])</f>
        <v>priyanka.jain@yahoo.com</v>
      </c>
      <c r="U14" t="str">
        <f ca="1">IF(ISBLANK(Table_1[[#This Row],[Address]]), "Address not Available", Table_1[[#This Row],[Address]])</f>
        <v>Address not Available</v>
      </c>
    </row>
    <row r="15" spans="5:22" ht="14.25" customHeight="1" x14ac:dyDescent="0.3">
      <c r="E15" s="2">
        <v>32</v>
      </c>
      <c r="F15" s="2" t="s">
        <v>90</v>
      </c>
      <c r="G15">
        <f ca="1">IF(ISBLANK(Table_1[[#This Row],[Age]]),ROUNDDOWN(AVERAGE(Table_1[Age]),0), Table_1[[#This Row],[Age]])</f>
        <v>32</v>
      </c>
      <c r="H15" s="2" t="s">
        <v>10</v>
      </c>
      <c r="I15" s="3" t="s">
        <v>51</v>
      </c>
      <c r="J15" s="2" t="s">
        <v>91</v>
      </c>
      <c r="K15" s="2"/>
      <c r="L15" t="str">
        <f ca="1">IF(ISBLANK(Table_1[[#This Row],[Address]]), "Address not Available", Table_1[[#This Row],[Address]])</f>
        <v>789 25th St, Jaipur, Rajasthan, India</v>
      </c>
      <c r="M15" s="2">
        <v>39835</v>
      </c>
      <c r="O15" t="str">
        <f>PROPER(IF(ISBLANK(Table_1[[#This Row],[Name]]),SUBSTITUTE(LEFT(J13,FIND("@",J13)-1),".", " "),Table_1[[#This Row],[Name]]))</f>
        <v>Rajeev Sharma</v>
      </c>
      <c r="P15">
        <f ca="1">IF(ISBLANK(Table_1[[#This Row],[Age]]),ROUNDDOWN(AVERAGE(Table_1[Age]),0), Table_1[[#This Row],[Age]])</f>
        <v>32</v>
      </c>
      <c r="S15" t="str">
        <f>IF(AND(Table_1[[#This Row],[Name]]&lt;&gt;"", Table_1[[#This Row],[Email]]=""), "support@unmessenger.com", Table_1[[#This Row],[Email]])</f>
        <v>rajeev.sharma@yahoo.com</v>
      </c>
      <c r="U15" t="str">
        <f ca="1">IF(ISBLANK(Table_1[[#This Row],[Address]]), "Address not Available", Table_1[[#This Row],[Address]])</f>
        <v>789 25th St, Jaipur, Rajasthan, India</v>
      </c>
    </row>
    <row r="16" spans="5:22" ht="14.25" customHeight="1" x14ac:dyDescent="0.3">
      <c r="E16" s="2">
        <v>38</v>
      </c>
      <c r="F16" s="2" t="s">
        <v>102</v>
      </c>
      <c r="G16">
        <f ca="1">IF(ISBLANK(Table_1[[#This Row],[Age]]),ROUNDDOWN(AVERAGE(Table_1[Age]),0), Table_1[[#This Row],[Age]])</f>
        <v>28</v>
      </c>
      <c r="H16" s="2" t="s">
        <v>10</v>
      </c>
      <c r="I16" s="3" t="s">
        <v>103</v>
      </c>
      <c r="J16" s="2" t="s">
        <v>104</v>
      </c>
      <c r="K16" s="2">
        <f>91-8888888888</f>
        <v>-8888888797</v>
      </c>
      <c r="L16" t="str">
        <f ca="1">IF(ISBLANK(Table_1[[#This Row],[Address]]), "Address not Available", Table_1[[#This Row],[Address]])</f>
        <v>789 31st St, Mumbai, Maharashtra, India</v>
      </c>
      <c r="M16" s="2">
        <v>37473</v>
      </c>
      <c r="O16" t="str">
        <f>PROPER(IF(ISBLANK(Table_1[[#This Row],[Name]]),SUBSTITUTE(LEFT(J14,FIND("@",J14)-1),".", " "),Table_1[[#This Row],[Name]]))</f>
        <v>Mohit Verma</v>
      </c>
      <c r="P16">
        <f ca="1">IF(ISBLANK(Table_1[[#This Row],[Age]]),ROUNDDOWN(AVERAGE(Table_1[Age]),0), Table_1[[#This Row],[Age]])</f>
        <v>28</v>
      </c>
      <c r="S16" t="str">
        <f>IF(AND(Table_1[[#This Row],[Name]]&lt;&gt;"", Table_1[[#This Row],[Email]]=""), "support@unmessenger.com", Table_1[[#This Row],[Email]])</f>
        <v>mohit.verma@yahoo.com</v>
      </c>
      <c r="U16" t="str">
        <f ca="1">IF(ISBLANK(Table_1[[#This Row],[Address]]), "Address not Available", Table_1[[#This Row],[Address]])</f>
        <v>789 31st St, Mumbai, Maharashtra, India</v>
      </c>
    </row>
    <row r="17" spans="5:21" ht="14.25" customHeight="1" x14ac:dyDescent="0.3">
      <c r="E17" s="2">
        <v>36</v>
      </c>
      <c r="F17" s="2" t="s">
        <v>99</v>
      </c>
      <c r="G17">
        <f ca="1">IF(ISBLANK(Table_1[[#This Row],[Age]]),ROUNDDOWN(AVERAGE(Table_1[Age]),0), Table_1[[#This Row],[Age]])</f>
        <v>29</v>
      </c>
      <c r="H17" s="2" t="s">
        <v>10</v>
      </c>
      <c r="I17" s="3" t="s">
        <v>27</v>
      </c>
      <c r="J17" s="2" t="s">
        <v>100</v>
      </c>
      <c r="K17" s="2">
        <f>91-7777777777</f>
        <v>-7777777686</v>
      </c>
      <c r="L17" t="str">
        <f ca="1">IF(ISBLANK(Table_1[[#This Row],[Address]]), "Address not Available", Table_1[[#This Row],[Address]])</f>
        <v>567 29th St, Ahmedabad, Gujarat, India</v>
      </c>
      <c r="M17" s="2">
        <v>37358</v>
      </c>
      <c r="O17" t="str">
        <f>PROPER(IF(ISBLANK(Table_1[[#This Row],[Name]]),SUBSTITUTE(LEFT(#REF!,FIND("@",#REF!)-1),".", " "),Table_1[[#This Row],[Name]]))</f>
        <v>Sushant Patel</v>
      </c>
      <c r="P17">
        <f ca="1">IF(ISBLANK(Table_1[[#This Row],[Age]]),ROUNDDOWN(AVERAGE(Table_1[Age]),0), Table_1[[#This Row],[Age]])</f>
        <v>29</v>
      </c>
      <c r="S17" t="str">
        <f>IF(AND(Table_1[[#This Row],[Name]]&lt;&gt;"", Table_1[[#This Row],[Email]]=""), "support@unmessenger.com", Table_1[[#This Row],[Email]])</f>
        <v>sushant.patel@hotmail.com</v>
      </c>
      <c r="U17" t="str">
        <f ca="1">IF(ISBLANK(Table_1[[#This Row],[Address]]), "Address not Available", Table_1[[#This Row],[Address]])</f>
        <v>567 29th St, Ahmedabad, Gujarat, India</v>
      </c>
    </row>
    <row r="18" spans="5:21" ht="14.25" customHeight="1" x14ac:dyDescent="0.3">
      <c r="E18" s="2">
        <v>21</v>
      </c>
      <c r="F18" s="2" t="s">
        <v>65</v>
      </c>
      <c r="G18">
        <f ca="1">IF(ISBLANK(Table_1[[#This Row],[Age]]),ROUNDDOWN(AVERAGE(Table_1[Age]),0), Table_1[[#This Row],[Age]])</f>
        <v>26</v>
      </c>
      <c r="H18" s="2" t="s">
        <v>16</v>
      </c>
      <c r="I18" s="3" t="s">
        <v>53</v>
      </c>
      <c r="J18" s="2" t="s">
        <v>66</v>
      </c>
      <c r="K18" s="2"/>
      <c r="L18" t="str">
        <f ca="1">IF(ISBLANK(Table_1[[#This Row],[Address]]), "Address not Available", Table_1[[#This Row],[Address]])</f>
        <v>789 16th St, Hyderabad, Telangana, India</v>
      </c>
      <c r="M18" s="2">
        <v>35969</v>
      </c>
      <c r="O18" t="str">
        <f>PROPER(IF(ISBLANK(Table_1[[#This Row],[Name]]),SUBSTITUTE(LEFT(J15,FIND("@",J15)-1),".", " "),Table_1[[#This Row],[Name]]))</f>
        <v>Nisha Verma</v>
      </c>
      <c r="P18">
        <f ca="1">IF(ISBLANK(Table_1[[#This Row],[Age]]),ROUNDDOWN(AVERAGE(Table_1[Age]),0), Table_1[[#This Row],[Age]])</f>
        <v>26</v>
      </c>
      <c r="S18" t="str">
        <f>IF(AND(Table_1[[#This Row],[Name]]&lt;&gt;"", Table_1[[#This Row],[Email]]=""), "support@unmessenger.com", Table_1[[#This Row],[Email]])</f>
        <v>nisha.verma@hotmail.com</v>
      </c>
      <c r="U18" t="str">
        <f ca="1">IF(ISBLANK(Table_1[[#This Row],[Address]]), "Address not Available", Table_1[[#This Row],[Address]])</f>
        <v>789 16th St, Hyderabad, Telangana, India</v>
      </c>
    </row>
    <row r="19" spans="5:21" ht="14.25" customHeight="1" x14ac:dyDescent="0.3">
      <c r="E19" s="2">
        <v>41</v>
      </c>
      <c r="F19" s="2" t="s">
        <v>114</v>
      </c>
      <c r="G19">
        <f ca="1">IF(ISBLANK(Table_1[[#This Row],[Age]]),ROUNDDOWN(AVERAGE(Table_1[Age]),0), Table_1[[#This Row],[Age]])</f>
        <v>27</v>
      </c>
      <c r="H19" s="2" t="s">
        <v>16</v>
      </c>
      <c r="I19" s="3" t="s">
        <v>33</v>
      </c>
      <c r="J19" s="2" t="s">
        <v>115</v>
      </c>
      <c r="K19" s="2">
        <f>91-7777777777</f>
        <v>-7777777686</v>
      </c>
      <c r="L19" t="str">
        <f ca="1">IF(ISBLANK(Table_1[[#This Row],[Address]]), "Address not Available", Table_1[[#This Row],[Address]])</f>
        <v>234 34th St, Bhopal, Madhya Pradesh, India</v>
      </c>
      <c r="M19" s="2">
        <v>35747</v>
      </c>
      <c r="O19" t="str">
        <f>PROPER(IF(ISBLANK(Table_1[[#This Row],[Name]]),SUBSTITUTE(LEFT(J16,FIND("@",J16)-1),".", " "),Table_1[[#This Row],[Name]]))</f>
        <v>Pooja Mishra</v>
      </c>
      <c r="P19">
        <f ca="1">IF(ISBLANK(Table_1[[#This Row],[Age]]),ROUNDDOWN(AVERAGE(Table_1[Age]),0), Table_1[[#This Row],[Age]])</f>
        <v>27</v>
      </c>
      <c r="S19" t="str">
        <f>IF(AND(Table_1[[#This Row],[Name]]&lt;&gt;"", Table_1[[#This Row],[Email]]=""), "support@unmessenger.com", Table_1[[#This Row],[Email]])</f>
        <v>pooja.mishra@yahoo.com</v>
      </c>
      <c r="U19" t="str">
        <f ca="1">IF(ISBLANK(Table_1[[#This Row],[Address]]), "Address not Available", Table_1[[#This Row],[Address]])</f>
        <v>234 34th St, Bhopal, Madhya Pradesh, India</v>
      </c>
    </row>
    <row r="20" spans="5:21" ht="14.25" customHeight="1" x14ac:dyDescent="0.3">
      <c r="E20" s="2">
        <v>4</v>
      </c>
      <c r="F20" s="2" t="s">
        <v>26</v>
      </c>
      <c r="G20">
        <f ca="1">IF(ISBLANK(Table_1[[#This Row],[Age]]),ROUNDDOWN(AVERAGE(Table_1[Age]),0), Table_1[[#This Row],[Age]])</f>
        <v>33</v>
      </c>
      <c r="H20" s="2" t="s">
        <v>16</v>
      </c>
      <c r="I20" s="3" t="s">
        <v>27</v>
      </c>
      <c r="J20" s="2" t="s">
        <v>28</v>
      </c>
      <c r="K20" s="2" t="s">
        <v>29</v>
      </c>
      <c r="L20" t="str">
        <f ca="1">IF(ISBLANK(Table_1[[#This Row],[Address]]), "Address not Available", Table_1[[#This Row],[Address]])</f>
        <v>12 4th St, New Delhi, Delhi, India</v>
      </c>
      <c r="M20" s="2">
        <v>33457</v>
      </c>
      <c r="O20" t="str">
        <f>PROPER(IF(ISBLANK(Table_1[[#This Row],[Name]]),SUBSTITUTE(LEFT(J17,FIND("@",J17)-1),".", " "),Table_1[[#This Row],[Name]]))</f>
        <v>Priya Sharma</v>
      </c>
      <c r="P20">
        <f ca="1">IF(ISBLANK(Table_1[[#This Row],[Age]]),ROUNDDOWN(AVERAGE(Table_1[Age]),0), Table_1[[#This Row],[Age]])</f>
        <v>33</v>
      </c>
      <c r="S20" t="str">
        <f>IF(AND(Table_1[[#This Row],[Name]]&lt;&gt;"", Table_1[[#This Row],[Email]]=""), "support@unmessenger.com", Table_1[[#This Row],[Email]])</f>
        <v>priya.sharma@yahoo.com</v>
      </c>
      <c r="U20" t="str">
        <f ca="1">IF(ISBLANK(Table_1[[#This Row],[Address]]), "Address not Available", Table_1[[#This Row],[Address]])</f>
        <v>12 4th St, New Delhi, Delhi, India</v>
      </c>
    </row>
    <row r="21" spans="5:21" ht="14.25" customHeight="1" x14ac:dyDescent="0.3">
      <c r="E21" s="2">
        <v>6</v>
      </c>
      <c r="F21" s="2" t="s">
        <v>32</v>
      </c>
      <c r="G21">
        <f ca="1">IF(ISBLANK(Table_1[[#This Row],[Age]]),ROUNDDOWN(AVERAGE(Table_1[Age]),0), Table_1[[#This Row],[Age]])</f>
        <v>34</v>
      </c>
      <c r="H21" s="2" t="s">
        <v>10</v>
      </c>
      <c r="I21" s="3" t="s">
        <v>33</v>
      </c>
      <c r="J21" s="2" t="s">
        <v>34</v>
      </c>
      <c r="K21" s="2"/>
      <c r="L21" t="str">
        <f ca="1">IF(ISBLANK(Table_1[[#This Row],[Address]]), "Address not Available", Table_1[[#This Row],[Address]])</f>
        <v>345 5th St, Jaipur, Rajasthan, India</v>
      </c>
      <c r="M21" s="2">
        <v>33418</v>
      </c>
      <c r="O21" t="str">
        <f>PROPER(IF(ISBLANK(Table_1[[#This Row],[Name]]),SUBSTITUTE(LEFT(#REF!,FIND("@",#REF!)-1),".", " "),Table_1[[#This Row],[Name]]))</f>
        <v>Rakesh Kumar</v>
      </c>
      <c r="P21">
        <f ca="1">IF(ISBLANK(Table_1[[#This Row],[Age]]),ROUNDDOWN(AVERAGE(Table_1[Age]),0), Table_1[[#This Row],[Age]])</f>
        <v>34</v>
      </c>
      <c r="S21" t="str">
        <f>IF(AND(Table_1[[#This Row],[Name]]&lt;&gt;"", Table_1[[#This Row],[Email]]=""), "support@unmessenger.com", Table_1[[#This Row],[Email]])</f>
        <v>rakesh.kumar@yahoo.com</v>
      </c>
      <c r="U21" t="str">
        <f ca="1">IF(ISBLANK(Table_1[[#This Row],[Address]]), "Address not Available", Table_1[[#This Row],[Address]])</f>
        <v>345 5th St, Jaipur, Rajasthan, India</v>
      </c>
    </row>
    <row r="22" spans="5:21" ht="14.25" customHeight="1" x14ac:dyDescent="0.3">
      <c r="E22" s="2">
        <v>42</v>
      </c>
      <c r="F22" s="2" t="s">
        <v>117</v>
      </c>
      <c r="G22">
        <f ca="1">IF(ISBLANK(Table_1[[#This Row],[Age]]),ROUNDDOWN(AVERAGE(Table_1[Age]),0), Table_1[[#This Row],[Age]])</f>
        <v>29</v>
      </c>
      <c r="H22" s="2" t="s">
        <v>10</v>
      </c>
      <c r="I22" s="3" t="s">
        <v>31</v>
      </c>
      <c r="J22" s="2" t="s">
        <v>118</v>
      </c>
      <c r="K22" s="2"/>
      <c r="L22" t="str">
        <f ca="1">IF(ISBLANK(Table_1[[#This Row],[Address]]), "Address not Available", Table_1[[#This Row],[Address]])</f>
        <v>567 35th St, Lucknow, Uttar Pradesh, India</v>
      </c>
      <c r="M22" s="2">
        <v>32258</v>
      </c>
      <c r="O22" t="str">
        <f>PROPER(IF(ISBLANK(Table_1[[#This Row],[Name]]),SUBSTITUTE(LEFT(J18,FIND("@",J18)-1),".", " "),Table_1[[#This Row],[Name]]))</f>
        <v>Mohan Kumar</v>
      </c>
      <c r="P22">
        <f ca="1">IF(ISBLANK(Table_1[[#This Row],[Age]]),ROUNDDOWN(AVERAGE(Table_1[Age]),0), Table_1[[#This Row],[Age]])</f>
        <v>29</v>
      </c>
      <c r="S22" t="str">
        <f>IF(AND(Table_1[[#This Row],[Name]]&lt;&gt;"", Table_1[[#This Row],[Email]]=""), "support@unmessenger.com", Table_1[[#This Row],[Email]])</f>
        <v>mohan.kumar@gmail.com</v>
      </c>
      <c r="U22" t="str">
        <f ca="1">IF(ISBLANK(Table_1[[#This Row],[Address]]), "Address not Available", Table_1[[#This Row],[Address]])</f>
        <v>567 35th St, Lucknow, Uttar Pradesh, India</v>
      </c>
    </row>
    <row r="23" spans="5:21" ht="14.25" customHeight="1" x14ac:dyDescent="0.3">
      <c r="E23" s="2">
        <v>2</v>
      </c>
      <c r="F23" s="2" t="s">
        <v>15</v>
      </c>
      <c r="G23">
        <f ca="1">IF(ISBLANK(Table_1[[#This Row],[Age]]),ROUNDDOWN(AVERAGE(Table_1[Age]),0), Table_1[[#This Row],[Age]])</f>
        <v>28</v>
      </c>
      <c r="H23" s="2" t="s">
        <v>16</v>
      </c>
      <c r="I23" s="3" t="s">
        <v>17</v>
      </c>
      <c r="J23" s="2" t="s">
        <v>18</v>
      </c>
      <c r="K23" s="2" t="s">
        <v>19</v>
      </c>
      <c r="L23" t="str">
        <f ca="1">IF(ISBLANK(Table_1[[#This Row],[Address]]), "Address not Available", Table_1[[#This Row],[Address]])</f>
        <v>456 Park Ave, Mumbai, Maharashtra, India</v>
      </c>
      <c r="M23" s="2">
        <v>31169</v>
      </c>
      <c r="O23" t="str">
        <f>PROPER(IF(ISBLANK(Table_1[[#This Row],[Name]]),SUBSTITUTE(LEFT(J19,FIND("@",J19)-1),".", " "),Table_1[[#This Row],[Name]]))</f>
        <v>Jane Smith</v>
      </c>
      <c r="P23">
        <f ca="1">IF(ISBLANK(Table_1[[#This Row],[Age]]),ROUNDDOWN(AVERAGE(Table_1[Age]),0), Table_1[[#This Row],[Age]])</f>
        <v>28</v>
      </c>
      <c r="S23" t="str">
        <f>IF(AND(Table_1[[#This Row],[Name]]&lt;&gt;"", Table_1[[#This Row],[Email]]=""), "support@unmessenger.com", Table_1[[#This Row],[Email]])</f>
        <v>jane.smith@hotmail.com</v>
      </c>
      <c r="U23" t="str">
        <f ca="1">IF(ISBLANK(Table_1[[#This Row],[Address]]), "Address not Available", Table_1[[#This Row],[Address]])</f>
        <v>456 Park Ave, Mumbai, Maharashtra, India</v>
      </c>
    </row>
    <row r="24" spans="5:21" ht="14.25" customHeight="1" x14ac:dyDescent="0.3">
      <c r="E24" s="2">
        <v>43</v>
      </c>
      <c r="F24" s="2" t="s">
        <v>120</v>
      </c>
      <c r="G24">
        <f ca="1">IF(ISBLANK(Table_1[[#This Row],[Age]]),ROUNDDOWN(AVERAGE(Table_1[Age]),0), Table_1[[#This Row],[Age]])</f>
        <v>26</v>
      </c>
      <c r="H24" s="2" t="s">
        <v>16</v>
      </c>
      <c r="I24" s="3" t="s">
        <v>51</v>
      </c>
      <c r="J24" s="2" t="s">
        <v>121</v>
      </c>
      <c r="K24" s="2">
        <f>91-5555555555</f>
        <v>-5555555464</v>
      </c>
      <c r="L24" t="str">
        <f ca="1">IF(ISBLANK(Table_1[[#This Row],[Address]]), "Address not Available", Table_1[[#This Row],[Address]])</f>
        <v>654 36th St, Jaipur, Rajasthan, India</v>
      </c>
      <c r="M24" s="2">
        <v>31047</v>
      </c>
      <c r="O24" t="str">
        <f>PROPER(IF(ISBLANK(Table_1[[#This Row],[Name]]),SUBSTITUTE(LEFT(J20,FIND("@",J20)-1),".", " "),Table_1[[#This Row],[Name]]))</f>
        <v>Anjali Gupta</v>
      </c>
      <c r="P24">
        <f ca="1">IF(ISBLANK(Table_1[[#This Row],[Age]]),ROUNDDOWN(AVERAGE(Table_1[Age]),0), Table_1[[#This Row],[Age]])</f>
        <v>26</v>
      </c>
      <c r="S24" t="str">
        <f>IF(AND(Table_1[[#This Row],[Name]]&lt;&gt;"", Table_1[[#This Row],[Email]]=""), "support@unmessenger.com", Table_1[[#This Row],[Email]])</f>
        <v>anjali.gupta@hotmail.com</v>
      </c>
      <c r="U24" t="str">
        <f ca="1">IF(ISBLANK(Table_1[[#This Row],[Address]]), "Address not Available", Table_1[[#This Row],[Address]])</f>
        <v>654 36th St, Jaipur, Rajasthan, India</v>
      </c>
    </row>
    <row r="25" spans="5:21" ht="14.25" customHeight="1" x14ac:dyDescent="0.3">
      <c r="E25" s="2">
        <v>39</v>
      </c>
      <c r="F25" s="2" t="s">
        <v>106</v>
      </c>
      <c r="G25">
        <f ca="1">IF(ISBLANK(Table_1[[#This Row],[Age]]),ROUNDDOWN(AVERAGE(Table_1[Age]),0), Table_1[[#This Row],[Age]])</f>
        <v>33</v>
      </c>
      <c r="H25" s="2" t="s">
        <v>16</v>
      </c>
      <c r="I25" s="3" t="s">
        <v>107</v>
      </c>
      <c r="J25" s="2" t="s">
        <v>108</v>
      </c>
      <c r="K25" s="2">
        <f>91-9999999999</f>
        <v>-9999999908</v>
      </c>
      <c r="L25" t="str">
        <f ca="1">IF(ISBLANK(Table_1[[#This Row],[Address]]), "Address not Available", Table_1[[#This Row],[Address]])</f>
        <v>901 32nd St, Kolkata, West Bengal, India</v>
      </c>
      <c r="M25" s="2">
        <v>30628</v>
      </c>
      <c r="O25" t="str">
        <f>PROPER(IF(ISBLANK(Table_1[[#This Row],[Name]]),SUBSTITUTE(LEFT(J21,FIND("@",J21)-1),".", " "),Table_1[[#This Row],[Name]]))</f>
        <v>Kavita Singh</v>
      </c>
      <c r="P25">
        <f ca="1">IF(ISBLANK(Table_1[[#This Row],[Age]]),ROUNDDOWN(AVERAGE(Table_1[Age]),0), Table_1[[#This Row],[Age]])</f>
        <v>33</v>
      </c>
      <c r="S25" t="str">
        <f>IF(AND(Table_1[[#This Row],[Name]]&lt;&gt;"", Table_1[[#This Row],[Email]]=""), "support@unmessenger.com", Table_1[[#This Row],[Email]])</f>
        <v>kavita.singh@hotmail.com</v>
      </c>
      <c r="U25" t="str">
        <f ca="1">IF(ISBLANK(Table_1[[#This Row],[Address]]), "Address not Available", Table_1[[#This Row],[Address]])</f>
        <v>901 32nd St, Kolkata, West Bengal, India</v>
      </c>
    </row>
    <row r="26" spans="5:21" ht="14.25" customHeight="1" x14ac:dyDescent="0.3">
      <c r="E26" s="2">
        <v>34</v>
      </c>
      <c r="F26" s="2" t="s">
        <v>93</v>
      </c>
      <c r="G26">
        <f ca="1">IF(ISBLANK(Table_1[[#This Row],[Age]]),ROUNDDOWN(AVERAGE(Table_1[Age]),0), Table_1[[#This Row],[Age]])</f>
        <v>30</v>
      </c>
      <c r="H26" s="2" t="s">
        <v>10</v>
      </c>
      <c r="I26" s="3" t="s">
        <v>57</v>
      </c>
      <c r="J26" s="2" t="s">
        <v>94</v>
      </c>
      <c r="K26" s="2"/>
      <c r="L26" t="str">
        <f ca="1">IF(ISBLANK(Table_1[[#This Row],[Address]]), "Address not Available", Table_1[[#This Row],[Address]])</f>
        <v>321 27th St, Hyderabad, Telangana, India</v>
      </c>
      <c r="M26" s="2">
        <v>29480</v>
      </c>
      <c r="O26" t="str">
        <f>PROPER(IF(ISBLANK(Table_1[[#This Row],[Name]]),SUBSTITUTE(LEFT(#REF!,FIND("@",#REF!)-1),".", " "),Table_1[[#This Row],[Name]]))</f>
        <v>Vinay Singh</v>
      </c>
      <c r="P26">
        <f ca="1">IF(ISBLANK(Table_1[[#This Row],[Age]]),ROUNDDOWN(AVERAGE(Table_1[Age]),0), Table_1[[#This Row],[Age]])</f>
        <v>30</v>
      </c>
      <c r="S26" t="str">
        <f>IF(AND(Table_1[[#This Row],[Name]]&lt;&gt;"", Table_1[[#This Row],[Email]]=""), "support@unmessenger.com", Table_1[[#This Row],[Email]])</f>
        <v>vinay.singh@gmail.com</v>
      </c>
      <c r="U26" t="str">
        <f ca="1">IF(ISBLANK(Table_1[[#This Row],[Address]]), "Address not Available", Table_1[[#This Row],[Address]])</f>
        <v>321 27th St, Hyderabad, Telangana, India</v>
      </c>
    </row>
    <row r="27" spans="5:21" ht="14.25" customHeight="1" x14ac:dyDescent="0.3">
      <c r="E27" s="2">
        <v>16</v>
      </c>
      <c r="F27" s="2" t="s">
        <v>52</v>
      </c>
      <c r="G27">
        <f ca="1">IF(ISBLANK(Table_1[[#This Row],[Age]]),ROUNDDOWN(AVERAGE(Table_1[Age]),0), Table_1[[#This Row],[Age]])</f>
        <v>32</v>
      </c>
      <c r="H27" s="2" t="s">
        <v>10</v>
      </c>
      <c r="I27" s="3" t="s">
        <v>53</v>
      </c>
      <c r="J27" s="2" t="s">
        <v>54</v>
      </c>
      <c r="K27" s="2">
        <f>91-1234567890</f>
        <v>-1234567799</v>
      </c>
      <c r="L27" t="str">
        <f ca="1">IF(ISBLANK(Table_1[[#This Row],[Address]]), "Address not Available", Table_1[[#This Row],[Address]])</f>
        <v>987 13th St, New Delhi, Delhi, India</v>
      </c>
      <c r="M27" s="2">
        <v>28476</v>
      </c>
      <c r="O27" t="str">
        <f>PROPER(IF(ISBLANK(Table_1[[#This Row],[Name]]),SUBSTITUTE(LEFT(J22,FIND("@",J22)-1),".", " "),Table_1[[#This Row],[Name]]))</f>
        <v>Manish Patel</v>
      </c>
      <c r="P27">
        <f ca="1">IF(ISBLANK(Table_1[[#This Row],[Age]]),ROUNDDOWN(AVERAGE(Table_1[Age]),0), Table_1[[#This Row],[Age]])</f>
        <v>32</v>
      </c>
      <c r="S27" t="str">
        <f>IF(AND(Table_1[[#This Row],[Name]]&lt;&gt;"", Table_1[[#This Row],[Email]]=""), "support@unmessenger.com", Table_1[[#This Row],[Email]])</f>
        <v>manish.patel@hotmail.com</v>
      </c>
      <c r="U27" t="str">
        <f ca="1">IF(ISBLANK(Table_1[[#This Row],[Address]]), "Address not Available", Table_1[[#This Row],[Address]])</f>
        <v>987 13th St, New Delhi, Delhi, India</v>
      </c>
    </row>
    <row r="28" spans="5:21" ht="14.25" customHeight="1" x14ac:dyDescent="0.3">
      <c r="E28" s="2">
        <v>49</v>
      </c>
      <c r="F28" s="2" t="s">
        <v>131</v>
      </c>
      <c r="G28">
        <f ca="1">IF(ISBLANK(Table_1[[#This Row],[Age]]),ROUNDDOWN(AVERAGE(Table_1[Age]),0), Table_1[[#This Row],[Age]])</f>
        <v>29</v>
      </c>
      <c r="H28" s="2" t="s">
        <v>10</v>
      </c>
      <c r="I28" s="3" t="s">
        <v>27</v>
      </c>
      <c r="J28" s="2" t="s">
        <v>132</v>
      </c>
      <c r="K28" s="2">
        <f>91-5555555555</f>
        <v>-5555555464</v>
      </c>
      <c r="L28" t="str">
        <f ca="1">IF(ISBLANK(Table_1[[#This Row],[Address]]), "Address not Available", Table_1[[#This Row],[Address]])</f>
        <v>321 41st St, Bangalore, Karnataka, India</v>
      </c>
      <c r="M28" s="2">
        <v>23055</v>
      </c>
      <c r="O28" t="str">
        <f>PROPER(IF(ISBLANK(Table_1[[#This Row],[Name]]),SUBSTITUTE(LEFT(J23,FIND("@",J23)-1),".", " "),Table_1[[#This Row],[Name]]))</f>
        <v>Sandeep Singh</v>
      </c>
      <c r="P28">
        <f ca="1">IF(ISBLANK(Table_1[[#This Row],[Age]]),ROUNDDOWN(AVERAGE(Table_1[Age]),0), Table_1[[#This Row],[Age]])</f>
        <v>29</v>
      </c>
      <c r="S28" t="str">
        <f>IF(AND(Table_1[[#This Row],[Name]]&lt;&gt;"", Table_1[[#This Row],[Email]]=""), "support@unmessenger.com", Table_1[[#This Row],[Email]])</f>
        <v>sandeep.singh@yahoo.com</v>
      </c>
      <c r="U28" t="str">
        <f ca="1">IF(ISBLANK(Table_1[[#This Row],[Address]]), "Address not Available", Table_1[[#This Row],[Address]])</f>
        <v>321 41st St, Bangalore, Karnataka, India</v>
      </c>
    </row>
    <row r="29" spans="5:21" ht="14.25" customHeight="1" x14ac:dyDescent="0.3">
      <c r="E29" s="2">
        <v>40</v>
      </c>
      <c r="F29" s="2" t="s">
        <v>110</v>
      </c>
      <c r="G29">
        <f ca="1">IF(ISBLANK(Table_1[[#This Row],[Age]]),ROUNDDOWN(AVERAGE(Table_1[Age]),0), Table_1[[#This Row],[Age]])</f>
        <v>30</v>
      </c>
      <c r="H29" s="2" t="s">
        <v>10</v>
      </c>
      <c r="I29" s="3" t="s">
        <v>111</v>
      </c>
      <c r="J29" s="2" t="s">
        <v>112</v>
      </c>
      <c r="K29" s="2"/>
      <c r="L29" t="str">
        <f ca="1">IF(ISBLANK(Table_1[[#This Row],[Address]]), "Address not Available", Table_1[[#This Row],[Address]])</f>
        <v>321 33rd St, Patna, Bihar, India</v>
      </c>
      <c r="M29" s="2">
        <v>22018</v>
      </c>
      <c r="O29" t="str">
        <f>PROPER(IF(ISBLANK(Table_1[[#This Row],[Name]]),SUBSTITUTE(LEFT(J24,FIND("@",J24)-1),".", " "),Table_1[[#This Row],[Name]]))</f>
        <v>Ankit Patel</v>
      </c>
      <c r="P29">
        <f ca="1">IF(ISBLANK(Table_1[[#This Row],[Age]]),ROUNDDOWN(AVERAGE(Table_1[Age]),0), Table_1[[#This Row],[Age]])</f>
        <v>30</v>
      </c>
      <c r="S29" t="str">
        <f>IF(AND(Table_1[[#This Row],[Name]]&lt;&gt;"", Table_1[[#This Row],[Email]]=""), "support@unmessenger.com", Table_1[[#This Row],[Email]])</f>
        <v>ankit.patel@gmail.com</v>
      </c>
      <c r="U29" t="str">
        <f ca="1">IF(ISBLANK(Table_1[[#This Row],[Address]]), "Address not Available", Table_1[[#This Row],[Address]])</f>
        <v>321 33rd St, Patna, Bihar, India</v>
      </c>
    </row>
    <row r="30" spans="5:21" ht="14.25" customHeight="1" x14ac:dyDescent="0.3">
      <c r="E30" s="2">
        <v>14</v>
      </c>
      <c r="F30" s="2" t="s">
        <v>47</v>
      </c>
      <c r="G30">
        <f ca="1">IF(ISBLANK(Table_1[[#This Row],[Age]]),ROUNDDOWN(AVERAGE(Table_1[Age]),0), Table_1[[#This Row],[Age]])</f>
        <v>28</v>
      </c>
      <c r="H30" s="2" t="s">
        <v>16</v>
      </c>
      <c r="I30" s="3" t="s">
        <v>48</v>
      </c>
      <c r="J30" s="2" t="s">
        <v>49</v>
      </c>
      <c r="K30" s="2"/>
      <c r="L30" t="str">
        <f ca="1">IF(ISBLANK(Table_1[[#This Row],[Address]]), "Address not Available", Table_1[[#This Row],[Address]])</f>
        <v>654 12th St, Kolkata, West Bengal, India</v>
      </c>
      <c r="M30" s="2">
        <v>21978</v>
      </c>
      <c r="O30" t="str">
        <f>PROPER(IF(ISBLANK(Table_1[[#This Row],[Name]]),SUBSTITUTE(LEFT(J25,FIND("@",J25)-1),".", " "),Table_1[[#This Row],[Name]]))</f>
        <v>Swati Singh</v>
      </c>
      <c r="P30">
        <f ca="1">IF(ISBLANK(Table_1[[#This Row],[Age]]),ROUNDDOWN(AVERAGE(Table_1[Age]),0), Table_1[[#This Row],[Age]])</f>
        <v>28</v>
      </c>
      <c r="S30" t="str">
        <f>IF(AND(Table_1[[#This Row],[Name]]&lt;&gt;"", Table_1[[#This Row],[Email]]=""), "support@unmessenger.com", Table_1[[#This Row],[Email]])</f>
        <v>swati.singh@gmail.com</v>
      </c>
      <c r="U30" t="str">
        <f ca="1">IF(ISBLANK(Table_1[[#This Row],[Address]]), "Address not Available", Table_1[[#This Row],[Address]])</f>
        <v>654 12th St, Kolkata, West Bengal, India</v>
      </c>
    </row>
    <row r="31" spans="5:21" ht="14.25" customHeight="1" x14ac:dyDescent="0.3">
      <c r="E31" s="2">
        <v>46</v>
      </c>
      <c r="F31" s="2" t="s">
        <v>125</v>
      </c>
      <c r="G31">
        <f ca="1">IF(ISBLANK(Table_1[[#This Row],[Age]]),ROUNDDOWN(AVERAGE(Table_1[Age]),0), Table_1[[#This Row],[Age]])</f>
        <v>27</v>
      </c>
      <c r="H31" s="2" t="s">
        <v>16</v>
      </c>
      <c r="I31" s="3" t="s">
        <v>103</v>
      </c>
      <c r="J31" s="2" t="s">
        <v>126</v>
      </c>
      <c r="K31" s="2">
        <f>91-7777777777</f>
        <v>-7777777686</v>
      </c>
      <c r="L31" t="str">
        <f ca="1">IF(ISBLANK(Table_1[[#This Row],[Address]]), "Address not Available", Table_1[[#This Row],[Address]])</f>
        <v>567 38th St, Hyderabad, Telangana, India</v>
      </c>
      <c r="M31" s="2">
        <v>20205</v>
      </c>
      <c r="O31" t="str">
        <f>PROPER(IF(ISBLANK(Table_1[[#This Row],[Name]]),SUBSTITUTE(LEFT(J26,FIND("@",J26)-1),".", " "),Table_1[[#This Row],[Name]]))</f>
        <v>Divya Patel</v>
      </c>
      <c r="P31">
        <f ca="1">IF(ISBLANK(Table_1[[#This Row],[Age]]),ROUNDDOWN(AVERAGE(Table_1[Age]),0), Table_1[[#This Row],[Age]])</f>
        <v>27</v>
      </c>
      <c r="S31" t="str">
        <f>IF(AND(Table_1[[#This Row],[Name]]&lt;&gt;"", Table_1[[#This Row],[Email]]=""), "support@unmessenger.com", Table_1[[#This Row],[Email]])</f>
        <v>divya.patel@yahoo.com</v>
      </c>
      <c r="U31" t="str">
        <f ca="1">IF(ISBLANK(Table_1[[#This Row],[Address]]), "Address not Available", Table_1[[#This Row],[Address]])</f>
        <v>567 38th St, Hyderabad, Telangana, India</v>
      </c>
    </row>
    <row r="32" spans="5:21" ht="14.25" customHeight="1" x14ac:dyDescent="0.3">
      <c r="E32" s="2">
        <v>50</v>
      </c>
      <c r="F32" s="2" t="s">
        <v>134</v>
      </c>
      <c r="G32">
        <f ca="1">IF(ISBLANK(Table_1[[#This Row],[Age]]),ROUNDDOWN(AVERAGE(Table_1[Age]),0), Table_1[[#This Row],[Age]])</f>
        <v>30</v>
      </c>
      <c r="H32" s="2" t="s">
        <v>16</v>
      </c>
      <c r="I32" s="3" t="s">
        <v>31</v>
      </c>
      <c r="J32" s="2" t="s">
        <v>135</v>
      </c>
      <c r="K32" s="2"/>
      <c r="L32" t="str">
        <f ca="1">IF(ISBLANK(Table_1[[#This Row],[Address]]), "Address not Available", Table_1[[#This Row],[Address]])</f>
        <v>789 42nd St, Mumbai, Maharashtra, India</v>
      </c>
      <c r="M32" s="2">
        <v>18647</v>
      </c>
      <c r="O32" t="str">
        <f>PROPER(IF(ISBLANK(Table_1[[#This Row],[Name]]),SUBSTITUTE(LEFT(J27,FIND("@",J27)-1),".", " "),Table_1[[#This Row],[Name]]))</f>
        <v>Shalini Sharma</v>
      </c>
      <c r="P32">
        <f ca="1">IF(ISBLANK(Table_1[[#This Row],[Age]]),ROUNDDOWN(AVERAGE(Table_1[Age]),0), Table_1[[#This Row],[Age]])</f>
        <v>30</v>
      </c>
      <c r="S32" t="str">
        <f>IF(AND(Table_1[[#This Row],[Name]]&lt;&gt;"", Table_1[[#This Row],[Email]]=""), "support@unmessenger.com", Table_1[[#This Row],[Email]])</f>
        <v>shalini.sharma@gmail.com</v>
      </c>
      <c r="U32" t="str">
        <f ca="1">IF(ISBLANK(Table_1[[#This Row],[Address]]), "Address not Available", Table_1[[#This Row],[Address]])</f>
        <v>789 42nd St, Mumbai, Maharashtra, India</v>
      </c>
    </row>
    <row r="33" spans="5:21" ht="14.25" customHeight="1" x14ac:dyDescent="0.3">
      <c r="E33" s="2">
        <v>24</v>
      </c>
      <c r="F33" s="2" t="s">
        <v>71</v>
      </c>
      <c r="G33">
        <f ca="1">IF(ISBLANK(Table_1[[#This Row],[Age]]),ROUNDDOWN(AVERAGE(Table_1[Age]),0), Table_1[[#This Row],[Age]])</f>
        <v>29</v>
      </c>
      <c r="H33" s="2" t="s">
        <v>10</v>
      </c>
      <c r="I33" s="3" t="s">
        <v>11</v>
      </c>
      <c r="J33" s="2" t="s">
        <v>72</v>
      </c>
      <c r="K33" s="2" t="s">
        <v>73</v>
      </c>
      <c r="L33" t="str">
        <f ca="1">IF(ISBLANK(Table_1[[#This Row],[Address]]), "Address not Available", Table_1[[#This Row],[Address]])</f>
        <v>Address not Available</v>
      </c>
      <c r="M33" s="2">
        <v>15853</v>
      </c>
      <c r="O33" t="str">
        <f>PROPER(IF(ISBLANK(Table_1[[#This Row],[Name]]),SUBSTITUTE(LEFT(J28,FIND("@",J28)-1),".", " "),Table_1[[#This Row],[Name]]))</f>
        <v>Sanjay Gupta</v>
      </c>
      <c r="P33">
        <f ca="1">IF(ISBLANK(Table_1[[#This Row],[Age]]),ROUNDDOWN(AVERAGE(Table_1[Age]),0), Table_1[[#This Row],[Age]])</f>
        <v>29</v>
      </c>
      <c r="S33" t="str">
        <f>IF(AND(Table_1[[#This Row],[Name]]&lt;&gt;"", Table_1[[#This Row],[Email]]=""), "support@unmessenger.com", Table_1[[#This Row],[Email]])</f>
        <v>sanjay.gupta@gmail.com</v>
      </c>
      <c r="U33" t="str">
        <f ca="1">IF(ISBLANK(Table_1[[#This Row],[Address]]), "Address not Available", Table_1[[#This Row],[Address]])</f>
        <v>Address not Available</v>
      </c>
    </row>
    <row r="34" spans="5:21" ht="14.25" customHeight="1" x14ac:dyDescent="0.3">
      <c r="E34" s="2">
        <v>48</v>
      </c>
      <c r="F34" s="2" t="s">
        <v>128</v>
      </c>
      <c r="G34">
        <f ca="1">IF(ISBLANK(Table_1[[#This Row],[Age]]),ROUNDDOWN(AVERAGE(Table_1[Age]),0), Table_1[[#This Row],[Age]])</f>
        <v>32</v>
      </c>
      <c r="H34" s="2" t="s">
        <v>16</v>
      </c>
      <c r="I34" s="3" t="s">
        <v>22</v>
      </c>
      <c r="J34" s="2" t="s">
        <v>129</v>
      </c>
      <c r="K34" s="2">
        <f>91-6666666666</f>
        <v>-6666666575</v>
      </c>
      <c r="L34" t="str">
        <f ca="1">IF(ISBLANK(Table_1[[#This Row],[Address]]), "Address not Available", Table_1[[#This Row],[Address]])</f>
        <v>901 40th St, Ahmedabad, Gujarat, India</v>
      </c>
      <c r="M34" s="2">
        <v>15531</v>
      </c>
      <c r="O34" t="str">
        <f>PROPER(IF(ISBLANK(Table_1[[#This Row],[Name]]),SUBSTITUTE(LEFT(J29,FIND("@",J29)-1),".", " "),Table_1[[#This Row],[Name]]))</f>
        <v>Aditi Shah</v>
      </c>
      <c r="P34">
        <f ca="1">IF(ISBLANK(Table_1[[#This Row],[Age]]),ROUNDDOWN(AVERAGE(Table_1[Age]),0), Table_1[[#This Row],[Age]])</f>
        <v>32</v>
      </c>
      <c r="S34" t="str">
        <f>IF(AND(Table_1[[#This Row],[Name]]&lt;&gt;"", Table_1[[#This Row],[Email]]=""), "support@unmessenger.com", Table_1[[#This Row],[Email]])</f>
        <v>aditi.shah@hotmail.com</v>
      </c>
      <c r="U34" t="str">
        <f ca="1">IF(ISBLANK(Table_1[[#This Row],[Address]]), "Address not Available", Table_1[[#This Row],[Address]])</f>
        <v>901 40th St, Ahmedabad, Gujarat, India</v>
      </c>
    </row>
    <row r="35" spans="5:21" ht="14.25" customHeight="1" x14ac:dyDescent="0.3">
      <c r="E35" s="2">
        <v>35</v>
      </c>
      <c r="F35" s="2" t="s">
        <v>96</v>
      </c>
      <c r="G35">
        <f ca="1">IF(ISBLANK(Table_1[[#This Row],[Age]]),ROUNDDOWN(AVERAGE(Table_1[Age]),0), Table_1[[#This Row],[Age]])</f>
        <v>29</v>
      </c>
      <c r="H35" s="2" t="s">
        <v>16</v>
      </c>
      <c r="I35" s="3" t="s">
        <v>22</v>
      </c>
      <c r="J35" s="2" t="s">
        <v>97</v>
      </c>
      <c r="K35" s="2">
        <f>91-5555555555</f>
        <v>-5555555464</v>
      </c>
      <c r="L35" t="str">
        <f ca="1">IF(ISBLANK(Table_1[[#This Row],[Address]]), "Address not Available", Table_1[[#This Row],[Address]])</f>
        <v>901 28th St, Pune, Maharashtra, India</v>
      </c>
      <c r="M35" s="2">
        <v>14254</v>
      </c>
      <c r="O35" t="str">
        <f>PROPER(IF(ISBLANK(Table_1[[#This Row],[Name]]),SUBSTITUTE(LEFT(#REF!,FIND("@",#REF!)-1),".", " "),Table_1[[#This Row],[Name]]))</f>
        <v>Priya Gupta</v>
      </c>
      <c r="P35">
        <f ca="1">IF(ISBLANK(Table_1[[#This Row],[Age]]),ROUNDDOWN(AVERAGE(Table_1[Age]),0), Table_1[[#This Row],[Age]])</f>
        <v>29</v>
      </c>
      <c r="S35" t="str">
        <f>IF(AND(Table_1[[#This Row],[Name]]&lt;&gt;"", Table_1[[#This Row],[Email]]=""), "support@unmessenger.com", Table_1[[#This Row],[Email]])</f>
        <v>priya.gupta@yahoo.com</v>
      </c>
      <c r="U35" t="str">
        <f ca="1">IF(ISBLANK(Table_1[[#This Row],[Address]]), "Address not Available", Table_1[[#This Row],[Address]])</f>
        <v>901 28th St, Pune, Maharashtra, India</v>
      </c>
    </row>
    <row r="36" spans="5:21" ht="14.25" customHeight="1" x14ac:dyDescent="0.3">
      <c r="E36" s="2">
        <v>12</v>
      </c>
      <c r="F36" s="2" t="s">
        <v>44</v>
      </c>
      <c r="G36">
        <f ca="1">IF(ISBLANK(Table_1[[#This Row],[Age]]),ROUNDDOWN(AVERAGE(Table_1[Age]),0), Table_1[[#This Row],[Age]])</f>
        <v>29</v>
      </c>
      <c r="H36" s="2" t="s">
        <v>10</v>
      </c>
      <c r="I36" s="3" t="s">
        <v>17</v>
      </c>
      <c r="J36" s="2" t="s">
        <v>45</v>
      </c>
      <c r="K36" s="2">
        <f>91-5555555555</f>
        <v>-5555555464</v>
      </c>
      <c r="L36" t="str">
        <f ca="1">IF(ISBLANK(Table_1[[#This Row],[Address]]), "Address not Available", Table_1[[#This Row],[Address]])</f>
        <v>789 10th St, Bangalore, Karnataka, India</v>
      </c>
      <c r="M36" s="2">
        <v>11901</v>
      </c>
      <c r="O36" t="str">
        <f>PROPER(IF(ISBLANK(Table_1[[#This Row],[Name]]),SUBSTITUTE(LEFT(J30,FIND("@",J30)-1),".", " "),Table_1[[#This Row],[Name]]))</f>
        <v>Rajeev Kumar</v>
      </c>
      <c r="P36">
        <f ca="1">IF(ISBLANK(Table_1[[#This Row],[Age]]),ROUNDDOWN(AVERAGE(Table_1[Age]),0), Table_1[[#This Row],[Age]])</f>
        <v>29</v>
      </c>
      <c r="S36" t="str">
        <f>IF(AND(Table_1[[#This Row],[Name]]&lt;&gt;"", Table_1[[#This Row],[Email]]=""), "support@unmessenger.com", Table_1[[#This Row],[Email]])</f>
        <v>rajeev.kumar@hotmail.com</v>
      </c>
      <c r="U36" t="str">
        <f ca="1">IF(ISBLANK(Table_1[[#This Row],[Address]]), "Address not Available", Table_1[[#This Row],[Address]])</f>
        <v>789 10th St, Bangalore, Karnataka, India</v>
      </c>
    </row>
    <row r="37" spans="5:21" ht="14.25" customHeight="1" x14ac:dyDescent="0.3">
      <c r="E37" s="2">
        <v>29</v>
      </c>
      <c r="F37" s="2" t="s">
        <v>86</v>
      </c>
      <c r="G37">
        <f ca="1">IF(ISBLANK(Table_1[[#This Row],[Age]]),ROUNDDOWN(AVERAGE(Table_1[Age]),0), Table_1[[#This Row],[Age]])</f>
        <v>26</v>
      </c>
      <c r="H37" s="2" t="s">
        <v>16</v>
      </c>
      <c r="I37" s="3" t="s">
        <v>22</v>
      </c>
      <c r="J37" s="2" t="s">
        <v>87</v>
      </c>
      <c r="K37" s="2">
        <f>91-7777777777</f>
        <v>-7777777686</v>
      </c>
      <c r="L37" t="str">
        <f ca="1">IF(ISBLANK(Table_1[[#This Row],[Address]]), "Address not Available", Table_1[[#This Row],[Address]])</f>
        <v>234 23rd St, Bhopal, Madhya Pradesh, India</v>
      </c>
      <c r="M37" s="2">
        <v>11342</v>
      </c>
      <c r="O37" t="str">
        <f>PROPER(IF(ISBLANK(Table_1[[#This Row],[Name]]),SUBSTITUTE(LEFT(J31,FIND("@",J31)-1),".", " "),Table_1[[#This Row],[Name]]))</f>
        <v>Swati Mishra</v>
      </c>
      <c r="P37">
        <f ca="1">IF(ISBLANK(Table_1[[#This Row],[Age]]),ROUNDDOWN(AVERAGE(Table_1[Age]),0), Table_1[[#This Row],[Age]])</f>
        <v>26</v>
      </c>
      <c r="S37" t="str">
        <f>IF(AND(Table_1[[#This Row],[Name]]&lt;&gt;"", Table_1[[#This Row],[Email]]=""), "support@unmessenger.com", Table_1[[#This Row],[Email]])</f>
        <v>swati.mishra@yahoo.com</v>
      </c>
      <c r="U37" t="str">
        <f ca="1">IF(ISBLANK(Table_1[[#This Row],[Address]]), "Address not Available", Table_1[[#This Row],[Address]])</f>
        <v>234 23rd St, Bhopal, Madhya Pradesh, India</v>
      </c>
    </row>
    <row r="38" spans="5:21" ht="14.25" customHeight="1" x14ac:dyDescent="0.3">
      <c r="E38" s="2">
        <v>3</v>
      </c>
      <c r="F38" s="2" t="s">
        <v>21</v>
      </c>
      <c r="G38">
        <f ca="1">IF(ISBLANK(Table_1[[#This Row],[Age]]),ROUNDDOWN(AVERAGE(Table_1[Age]),0), Table_1[[#This Row],[Age]])</f>
        <v>27</v>
      </c>
      <c r="H38" s="2" t="s">
        <v>10</v>
      </c>
      <c r="I38" s="3" t="s">
        <v>22</v>
      </c>
      <c r="J38" s="2" t="s">
        <v>23</v>
      </c>
      <c r="K38" s="2" t="s">
        <v>24</v>
      </c>
      <c r="L38" t="str">
        <f ca="1">IF(ISBLANK(Table_1[[#This Row],[Address]]), "Address not Available", Table_1[[#This Row],[Address]])</f>
        <v>789 3rd St, Kolkata, West Bengal, India</v>
      </c>
      <c r="M38" s="2">
        <v>11116</v>
      </c>
      <c r="O38" t="str">
        <f>PROPER(IF(ISBLANK(Table_1[[#This Row],[Name]]),SUBSTITUTE(LEFT(#REF!,FIND("@",#REF!)-1),".", " "),Table_1[[#This Row],[Name]]))</f>
        <v>Amit Patel</v>
      </c>
      <c r="P38">
        <f ca="1">IF(ISBLANK(Table_1[[#This Row],[Age]]),ROUNDDOWN(AVERAGE(Table_1[Age]),0), Table_1[[#This Row],[Age]])</f>
        <v>27</v>
      </c>
      <c r="S38" t="str">
        <f>IF(AND(Table_1[[#This Row],[Name]]&lt;&gt;"", Table_1[[#This Row],[Email]]=""), "support@unmessenger.com", Table_1[[#This Row],[Email]])</f>
        <v>amit.patel@gmail.com</v>
      </c>
      <c r="U38" t="str">
        <f ca="1">IF(ISBLANK(Table_1[[#This Row],[Address]]), "Address not Available", Table_1[[#This Row],[Address]])</f>
        <v>789 3rd St, Kolkata, West Bengal, India</v>
      </c>
    </row>
    <row r="39" spans="5:21" ht="14.25" customHeight="1" x14ac:dyDescent="0.3">
      <c r="E39" s="2">
        <v>27</v>
      </c>
      <c r="F39" s="2" t="s">
        <v>80</v>
      </c>
      <c r="G39">
        <f ca="1">IF(ISBLANK(Table_1[[#This Row],[Age]]),ROUNDDOWN(AVERAGE(Table_1[Age]),0), Table_1[[#This Row],[Age]])</f>
        <v>28</v>
      </c>
      <c r="H39" s="2" t="s">
        <v>16</v>
      </c>
      <c r="I39" s="3" t="s">
        <v>53</v>
      </c>
      <c r="J39" s="2" t="s">
        <v>81</v>
      </c>
      <c r="K39" s="2">
        <f>91-7777777777</f>
        <v>-7777777686</v>
      </c>
      <c r="L39" t="str">
        <f ca="1">IF(ISBLANK(Table_1[[#This Row],[Address]]), "Address not Available", Table_1[[#This Row],[Address]])</f>
        <v>321 21st St, Kolkata, West Bengal, India</v>
      </c>
      <c r="M39" s="2">
        <v>8022</v>
      </c>
      <c r="O39" t="str">
        <f>PROPER(IF(ISBLANK(Table_1[[#This Row],[Name]]),SUBSTITUTE(LEFT(J32,FIND("@",J32)-1),".", " "),Table_1[[#This Row],[Name]]))</f>
        <v>Preeti Singh</v>
      </c>
      <c r="P39">
        <f ca="1">IF(ISBLANK(Table_1[[#This Row],[Age]]),ROUNDDOWN(AVERAGE(Table_1[Age]),0), Table_1[[#This Row],[Age]])</f>
        <v>28</v>
      </c>
      <c r="S39" t="str">
        <f>IF(AND(Table_1[[#This Row],[Name]]&lt;&gt;"", Table_1[[#This Row],[Email]]=""), "support@unmessenger.com", Table_1[[#This Row],[Email]])</f>
        <v>preeti.singh@gmail.com</v>
      </c>
      <c r="U39" t="str">
        <f ca="1">IF(ISBLANK(Table_1[[#This Row],[Address]]), "Address not Available", Table_1[[#This Row],[Address]])</f>
        <v>321 21st St, Kolkata, West Bengal, India</v>
      </c>
    </row>
    <row r="40" spans="5:21" ht="14.25" customHeight="1" x14ac:dyDescent="0.3">
      <c r="E40" s="2">
        <v>25</v>
      </c>
      <c r="F40" s="2" t="s">
        <v>74</v>
      </c>
      <c r="G40">
        <f ca="1">IF(ISBLANK(Table_1[[#This Row],[Age]]),ROUNDDOWN(AVERAGE(Table_1[Age]),0), Table_1[[#This Row],[Age]])</f>
        <v>29</v>
      </c>
      <c r="H40" s="2" t="s">
        <v>16</v>
      </c>
      <c r="I40" s="3" t="s">
        <v>17</v>
      </c>
      <c r="J40" s="2" t="s">
        <v>75</v>
      </c>
      <c r="K40" s="2">
        <f>91-5555555555</f>
        <v>-5555555464</v>
      </c>
      <c r="L40" t="str">
        <f ca="1">IF(ISBLANK(Table_1[[#This Row],[Address]]), "Address not Available", Table_1[[#This Row],[Address]])</f>
        <v>567 19th St, Bangalore, Karnataka, India</v>
      </c>
      <c r="M40" s="2">
        <v>6926</v>
      </c>
      <c r="O40" t="str">
        <f>PROPER(IF(ISBLANK(Table_1[[#This Row],[Name]]),SUBSTITUTE(LEFT(J33,FIND("@",J33)-1),".", " "),Table_1[[#This Row],[Name]]))</f>
        <v>Anjali Sharma</v>
      </c>
      <c r="P40">
        <f ca="1">IF(ISBLANK(Table_1[[#This Row],[Age]]),ROUNDDOWN(AVERAGE(Table_1[Age]),0), Table_1[[#This Row],[Age]])</f>
        <v>29</v>
      </c>
      <c r="S40" t="str">
        <f>IF(AND(Table_1[[#This Row],[Name]]&lt;&gt;"", Table_1[[#This Row],[Email]]=""), "support@unmessenger.com", Table_1[[#This Row],[Email]])</f>
        <v>anjali.sharma@yahoo.com</v>
      </c>
      <c r="U40" t="str">
        <f ca="1">IF(ISBLANK(Table_1[[#This Row],[Address]]), "Address not Available", Table_1[[#This Row],[Address]])</f>
        <v>567 19th St, Bangalore, Karnataka, India</v>
      </c>
    </row>
    <row r="41" spans="5:21" ht="14.25" customHeight="1" x14ac:dyDescent="0.3">
      <c r="E41" s="2">
        <v>1</v>
      </c>
      <c r="F41" s="2" t="s">
        <v>9</v>
      </c>
      <c r="G41">
        <f ca="1">IF(ISBLANK(Table_1[[#This Row],[Age]]),ROUNDDOWN(AVERAGE(Table_1[Age]),0), Table_1[[#This Row],[Age]])</f>
        <v>32</v>
      </c>
      <c r="H41" s="2" t="s">
        <v>10</v>
      </c>
      <c r="I41" s="3" t="s">
        <v>11</v>
      </c>
      <c r="J41" s="2" t="s">
        <v>12</v>
      </c>
      <c r="K41" s="2" t="s">
        <v>13</v>
      </c>
      <c r="L41" t="str">
        <f ca="1">IF(ISBLANK(Table_1[[#This Row],[Address]]), "Address not Available", Table_1[[#This Row],[Address]])</f>
        <v>123 Main St, Bangalore, Karnataka, India</v>
      </c>
      <c r="M41" s="2">
        <v>4553</v>
      </c>
      <c r="O41" t="str">
        <f>PROPER(IF(ISBLANK(Table_1[[#This Row],[Name]]),SUBSTITUTE(LEFT(J34,FIND("@",J34)-1),".", " "),Table_1[[#This Row],[Name]]))</f>
        <v>John Doe</v>
      </c>
      <c r="P41">
        <f ca="1">IF(ISBLANK(Table_1[[#This Row],[Age]]),ROUNDDOWN(AVERAGE(Table_1[Age]),0), Table_1[[#This Row],[Age]])</f>
        <v>32</v>
      </c>
      <c r="S41" t="str">
        <f>IF(AND(Table_1[[#This Row],[Name]]&lt;&gt;"", Table_1[[#This Row],[Email]]=""), "support@unmessenger.com", Table_1[[#This Row],[Email]])</f>
        <v>john.doe@gmail.com</v>
      </c>
      <c r="U41" t="str">
        <f ca="1">IF(ISBLANK(Table_1[[#This Row],[Address]]), "Address not Available", Table_1[[#This Row],[Address]])</f>
        <v>123 Main St, Bangalore, Karnataka, India</v>
      </c>
    </row>
    <row r="42" spans="5:21" ht="14.25" customHeight="1" x14ac:dyDescent="0.3">
      <c r="E42" s="2">
        <v>28</v>
      </c>
      <c r="F42" s="2" t="s">
        <v>83</v>
      </c>
      <c r="G42">
        <f ca="1">IF(ISBLANK(Table_1[[#This Row],[Age]]),ROUNDDOWN(AVERAGE(Table_1[Age]),0), Table_1[[#This Row],[Age]])</f>
        <v>34</v>
      </c>
      <c r="H42" s="2" t="s">
        <v>10</v>
      </c>
      <c r="I42" s="3" t="s">
        <v>57</v>
      </c>
      <c r="J42" s="2" t="s">
        <v>84</v>
      </c>
      <c r="K42" s="2">
        <f>91-8888888888</f>
        <v>-8888888797</v>
      </c>
      <c r="L42" t="str">
        <f ca="1">IF(ISBLANK(Table_1[[#This Row],[Address]]), "Address not Available", Table_1[[#This Row],[Address]])</f>
        <v>901 22nd St, Patna, Bihar, India</v>
      </c>
      <c r="M42" s="2">
        <v>3484</v>
      </c>
      <c r="O42" t="str">
        <f>PROPER(IF(ISBLANK(Table_1[[#This Row],[Name]]),SUBSTITUTE(LEFT(#REF!,FIND("@",#REF!)-1),".", " "),Table_1[[#This Row],[Name]]))</f>
        <v>Ravi Kumar</v>
      </c>
      <c r="P42">
        <f ca="1">IF(ISBLANK(Table_1[[#This Row],[Age]]),ROUNDDOWN(AVERAGE(Table_1[Age]),0), Table_1[[#This Row],[Age]])</f>
        <v>34</v>
      </c>
      <c r="S42" t="str">
        <f>IF(AND(Table_1[[#This Row],[Name]]&lt;&gt;"", Table_1[[#This Row],[Email]]=""), "support@unmessenger.com", Table_1[[#This Row],[Email]])</f>
        <v>ravi.kumar@gmail.com</v>
      </c>
      <c r="U42" t="str">
        <f ca="1">IF(ISBLANK(Table_1[[#This Row],[Address]]), "Address not Available", Table_1[[#This Row],[Address]])</f>
        <v>901 22nd St, Patna, Bihar, India</v>
      </c>
    </row>
    <row r="43" spans="5:21" ht="14.25" customHeight="1" x14ac:dyDescent="0.3">
      <c r="E43" s="2">
        <v>19</v>
      </c>
      <c r="F43" s="2" t="s">
        <v>62</v>
      </c>
      <c r="G43">
        <f ca="1">IF(ISBLANK(Table_1[[#This Row],[Age]]),ROUNDDOWN(AVERAGE(Table_1[Age]),0), Table_1[[#This Row],[Age]])</f>
        <v>30</v>
      </c>
      <c r="H43" s="2" t="s">
        <v>16</v>
      </c>
      <c r="I43" s="3" t="s">
        <v>33</v>
      </c>
      <c r="J43" s="2" t="s">
        <v>63</v>
      </c>
      <c r="K43" s="2">
        <f>91-5555555555</f>
        <v>-5555555464</v>
      </c>
      <c r="L43" t="str">
        <f ca="1">IF(ISBLANK(Table_1[[#This Row],[Address]]), "Address not Available", Table_1[[#This Row],[Address]])</f>
        <v>321 15th St, Chennai, Tamil Nadu, India</v>
      </c>
      <c r="M43" s="2">
        <v>3337</v>
      </c>
      <c r="O43" t="str">
        <f>PROPER(IF(ISBLANK(Table_1[[#This Row],[Name]]),SUBSTITUTE(LEFT(J35,FIND("@",J35)-1),".", " "),Table_1[[#This Row],[Name]]))</f>
        <v>Deepika Singh</v>
      </c>
      <c r="P43">
        <f ca="1">IF(ISBLANK(Table_1[[#This Row],[Age]]),ROUNDDOWN(AVERAGE(Table_1[Age]),0), Table_1[[#This Row],[Age]])</f>
        <v>30</v>
      </c>
      <c r="S43" t="str">
        <f>IF(AND(Table_1[[#This Row],[Name]]&lt;&gt;"", Table_1[[#This Row],[Email]]=""), "support@unmessenger.com", Table_1[[#This Row],[Email]])</f>
        <v>deepika.singh@yahoo.com</v>
      </c>
      <c r="U43" t="str">
        <f ca="1">IF(ISBLANK(Table_1[[#This Row],[Address]]), "Address not Available", Table_1[[#This Row],[Address]])</f>
        <v>321 15th St, Chennai, Tamil Nadu, India</v>
      </c>
    </row>
    <row r="44" spans="5:21" ht="14.25" customHeight="1" x14ac:dyDescent="0.3">
      <c r="E44" s="2">
        <v>45</v>
      </c>
      <c r="F44" s="2" t="s">
        <v>123</v>
      </c>
      <c r="G44">
        <f ca="1">IF(ISBLANK(Table_1[[#This Row],[Age]]),ROUNDDOWN(AVERAGE(Table_1[Age]),0), Table_1[[#This Row],[Age]])</f>
        <v>31</v>
      </c>
      <c r="H44" s="2" t="s">
        <v>10</v>
      </c>
      <c r="I44" s="3" t="s">
        <v>57</v>
      </c>
      <c r="J44" s="2" t="s">
        <v>124</v>
      </c>
      <c r="K44" s="2">
        <f>91-8888888888</f>
        <v>-8888888797</v>
      </c>
      <c r="L44" t="str">
        <f ca="1">IF(ISBLANK(Table_1[[#This Row],[Address]]), "Address not Available", Table_1[[#This Row],[Address]])</f>
        <v>Address not Available</v>
      </c>
      <c r="M44" s="2">
        <v>3108</v>
      </c>
      <c r="O44" t="str">
        <f>PROPER(IF(ISBLANK(Table_1[[#This Row],[Name]]),SUBSTITUTE(LEFT(J36,FIND("@",J36)-1),".", " "),Table_1[[#This Row],[Name]]))</f>
        <v>Arjun Singh</v>
      </c>
      <c r="P44">
        <f ca="1">IF(ISBLANK(Table_1[[#This Row],[Age]]),ROUNDDOWN(AVERAGE(Table_1[Age]),0), Table_1[[#This Row],[Age]])</f>
        <v>31</v>
      </c>
      <c r="S44" t="str">
        <f>IF(AND(Table_1[[#This Row],[Name]]&lt;&gt;"", Table_1[[#This Row],[Email]]=""), "support@unmessenger.com", Table_1[[#This Row],[Email]])</f>
        <v>arjun.singh@gmail.com</v>
      </c>
      <c r="U44" t="str">
        <f ca="1">IF(ISBLANK(Table_1[[#This Row],[Address]]), "Address not Available", Table_1[[#This Row],[Address]])</f>
        <v>Address not Available</v>
      </c>
    </row>
    <row r="45" spans="5:21" ht="14.25" customHeight="1" x14ac:dyDescent="0.3">
      <c r="E45" s="2">
        <v>18</v>
      </c>
      <c r="F45" s="2" t="s">
        <v>59</v>
      </c>
      <c r="G45">
        <f ca="1">IF(ISBLANK(Table_1[[#This Row],[Age]]),ROUNDDOWN(AVERAGE(Table_1[Age]),0), Table_1[[#This Row],[Age]])</f>
        <v>28</v>
      </c>
      <c r="H45" s="2" t="s">
        <v>10</v>
      </c>
      <c r="I45" s="3" t="s">
        <v>33</v>
      </c>
      <c r="J45" s="2" t="s">
        <v>60</v>
      </c>
      <c r="K45" s="2">
        <f>91-9876543210</f>
        <v>-9876543119</v>
      </c>
      <c r="L45" t="str">
        <f ca="1">IF(ISBLANK(Table_1[[#This Row],[Address]]), "Address not Available", Table_1[[#This Row],[Address]])</f>
        <v>654 14th St, Jaipur, Rajasthan, India</v>
      </c>
      <c r="M45" s="2">
        <v>2949</v>
      </c>
      <c r="O45" t="str">
        <f>PROPER(IF(ISBLANK(Table_1[[#This Row],[Name]]),SUBSTITUTE(LEFT(J37,FIND("@",J37)-1),".", " "),Table_1[[#This Row],[Name]]))</f>
        <v>Rohit Sharma</v>
      </c>
      <c r="P45">
        <f ca="1">IF(ISBLANK(Table_1[[#This Row],[Age]]),ROUNDDOWN(AVERAGE(Table_1[Age]),0), Table_1[[#This Row],[Age]])</f>
        <v>28</v>
      </c>
      <c r="S45" t="str">
        <f>IF(AND(Table_1[[#This Row],[Name]]&lt;&gt;"", Table_1[[#This Row],[Email]]=""), "support@unmessenger.com", Table_1[[#This Row],[Email]])</f>
        <v>rohit.sharma@gmail.com</v>
      </c>
      <c r="U45" t="str">
        <f ca="1">IF(ISBLANK(Table_1[[#This Row],[Address]]), "Address not Available", Table_1[[#This Row],[Address]])</f>
        <v>654 14th St, Jaipur, Rajasthan, India</v>
      </c>
    </row>
    <row r="46" spans="5:21" ht="14.25" customHeight="1" x14ac:dyDescent="0.3">
      <c r="E46" s="2"/>
      <c r="F46" s="2"/>
      <c r="H46" s="2"/>
      <c r="I46" s="3"/>
      <c r="J46" s="2"/>
      <c r="K46" s="2"/>
      <c r="L46" s="2"/>
      <c r="M46" s="2"/>
      <c r="O46" t="str">
        <f>PROPER(IF(ISBLANK(Table_1[[#This Row],[Name]]),SUBSTITUTE(LEFT(J38,FIND("@",J38)-1),".", " "),Table_1[[#This Row],[Name]]))</f>
        <v>Amit Patel</v>
      </c>
      <c r="P46" t="e">
        <f ca="1">IF(ISBLANK(Table_1[[#This Row],[Age]]),ROUNDDOWN(AVERAGE(Table_1[Age]),0), Table_1[[#This Row],[Age]])</f>
        <v>#VALUE!</v>
      </c>
      <c r="S46">
        <f>IF(AND(Table_1[[#This Row],[Name]]&lt;&gt;"", Table_1[[#This Row],[Email]]=""), "support@unmessenger.com", Table_1[[#This Row],[Email]])</f>
        <v>0</v>
      </c>
      <c r="U46" t="str">
        <f>IF(ISBLANK(Table_1[[#This Row],[Address]]), "Address not Available", Table_1[[#This Row],[Address]])</f>
        <v>Address not Available</v>
      </c>
    </row>
    <row r="47" spans="5:21" ht="14.25" customHeight="1" x14ac:dyDescent="0.3">
      <c r="E47" s="2"/>
      <c r="F47" s="2"/>
      <c r="H47" s="2"/>
      <c r="I47" s="3"/>
      <c r="J47" s="2"/>
      <c r="K47" s="2"/>
      <c r="L47" s="2"/>
      <c r="M47" s="2"/>
      <c r="O47" t="str">
        <f>PROPER(IF(ISBLANK(Table_1[[#This Row],[Name]]),SUBSTITUTE(LEFT(J39,FIND("@",J39)-1),".", " "),Table_1[[#This Row],[Name]]))</f>
        <v>Preeti Singh</v>
      </c>
      <c r="P47" t="e">
        <f ca="1">IF(ISBLANK(Table_1[[#This Row],[Age]]),ROUNDDOWN(AVERAGE(Table_1[Age]),0), Table_1[[#This Row],[Age]])</f>
        <v>#VALUE!</v>
      </c>
      <c r="S47">
        <f>IF(AND(Table_1[[#This Row],[Name]]&lt;&gt;"", Table_1[[#This Row],[Email]]=""), "support@unmessenger.com", Table_1[[#This Row],[Email]])</f>
        <v>0</v>
      </c>
      <c r="U47" t="str">
        <f>IF(ISBLANK(Table_1[[#This Row],[Address]]), "Address not Available", Table_1[[#This Row],[Address]])</f>
        <v>Address not Available</v>
      </c>
    </row>
    <row r="48" spans="5:21" ht="14.25" customHeight="1" x14ac:dyDescent="0.3">
      <c r="E48" s="2"/>
      <c r="F48" s="2"/>
      <c r="H48" s="2"/>
      <c r="I48" s="3"/>
      <c r="J48" s="2"/>
      <c r="K48" s="2"/>
      <c r="L48" s="2"/>
      <c r="M48" s="2"/>
      <c r="O48" t="str">
        <f>PROPER(IF(ISBLANK(Table_1[[#This Row],[Name]]),SUBSTITUTE(LEFT(J40,FIND("@",J40)-1),".", " "),Table_1[[#This Row],[Name]]))</f>
        <v>Anjali Sharma</v>
      </c>
      <c r="P48" t="e">
        <f ca="1">IF(ISBLANK(Table_1[[#This Row],[Age]]),ROUNDDOWN(AVERAGE(Table_1[Age]),0), Table_1[[#This Row],[Age]])</f>
        <v>#VALUE!</v>
      </c>
      <c r="S48">
        <f>IF(AND(Table_1[[#This Row],[Name]]&lt;&gt;"", Table_1[[#This Row],[Email]]=""), "support@unmessenger.com", Table_1[[#This Row],[Email]])</f>
        <v>0</v>
      </c>
      <c r="U48" t="str">
        <f>IF(ISBLANK(Table_1[[#This Row],[Address]]), "Address not Available", Table_1[[#This Row],[Address]])</f>
        <v>Address not Available</v>
      </c>
    </row>
    <row r="49" spans="5:21" ht="14.25" customHeight="1" x14ac:dyDescent="0.3">
      <c r="E49" s="2"/>
      <c r="F49" s="2"/>
      <c r="H49" s="2"/>
      <c r="I49" s="3"/>
      <c r="J49" s="2"/>
      <c r="K49" s="2"/>
      <c r="L49" s="2"/>
      <c r="M49" s="2"/>
      <c r="O49" t="e">
        <f>PROPER(IF(ISBLANK(Table_1[[#This Row],[Name]]),SUBSTITUTE(LEFT(#REF!,FIND("@",#REF!)-1),".", " "),Table_1[[#This Row],[Name]]))</f>
        <v>#REF!</v>
      </c>
      <c r="P49" t="e">
        <f ca="1">IF(ISBLANK(Table_1[[#This Row],[Age]]),ROUNDDOWN(AVERAGE(Table_1[Age]),0), Table_1[[#This Row],[Age]])</f>
        <v>#VALUE!</v>
      </c>
      <c r="S49">
        <f>IF(AND(Table_1[[#This Row],[Name]]&lt;&gt;"", Table_1[[#This Row],[Email]]=""), "support@unmessenger.com", Table_1[[#This Row],[Email]])</f>
        <v>0</v>
      </c>
      <c r="U49" t="str">
        <f>IF(ISBLANK(Table_1[[#This Row],[Address]]), "Address not Available", Table_1[[#This Row],[Address]])</f>
        <v>Address not Available</v>
      </c>
    </row>
    <row r="50" spans="5:21" ht="14.25" customHeight="1" x14ac:dyDescent="0.3">
      <c r="E50" s="2"/>
      <c r="F50" s="2"/>
      <c r="H50" s="2"/>
      <c r="I50" s="3"/>
      <c r="J50" s="2"/>
      <c r="K50" s="2"/>
      <c r="L50" s="2"/>
      <c r="M50" s="2"/>
      <c r="O50" t="str">
        <f>PROPER(IF(ISBLANK(Table_1[[#This Row],[Name]]),SUBSTITUTE(LEFT(J41,FIND("@",J41)-1),".", " "),Table_1[[#This Row],[Name]]))</f>
        <v>John Doe</v>
      </c>
      <c r="P50" t="e">
        <f ca="1">IF(ISBLANK(Table_1[[#This Row],[Age]]),ROUNDDOWN(AVERAGE(Table_1[Age]),0), Table_1[[#This Row],[Age]])</f>
        <v>#VALUE!</v>
      </c>
      <c r="S50">
        <f>IF(AND(Table_1[[#This Row],[Name]]&lt;&gt;"", Table_1[[#This Row],[Email]]=""), "support@unmessenger.com", Table_1[[#This Row],[Email]])</f>
        <v>0</v>
      </c>
      <c r="U50" t="str">
        <f>IF(ISBLANK(Table_1[[#This Row],[Address]]), "Address not Available", Table_1[[#This Row],[Address]])</f>
        <v>Address not Available</v>
      </c>
    </row>
    <row r="51" spans="5:21" ht="14.25" customHeight="1" x14ac:dyDescent="0.3">
      <c r="E51" s="2"/>
      <c r="F51" s="2"/>
      <c r="H51" s="2"/>
      <c r="I51" s="3"/>
      <c r="J51" s="2"/>
      <c r="K51" s="2"/>
      <c r="L51" s="2"/>
      <c r="M51" s="2"/>
      <c r="O51" t="str">
        <f>PROPER(IF(ISBLANK(Table_1[[#This Row],[Name]]),SUBSTITUTE(LEFT(J42,FIND("@",J42)-1),".", " "),Table_1[[#This Row],[Name]]))</f>
        <v>Ravi Kumar</v>
      </c>
      <c r="P51" t="e">
        <f ca="1">IF(ISBLANK(Table_1[[#This Row],[Age]]),ROUNDDOWN(AVERAGE(Table_1[Age]),0), Table_1[[#This Row],[Age]])</f>
        <v>#VALUE!</v>
      </c>
      <c r="S51">
        <f>IF(AND(Table_1[[#This Row],[Name]]&lt;&gt;"", Table_1[[#This Row],[Email]]=""), "support@unmessenger.com", Table_1[[#This Row],[Email]])</f>
        <v>0</v>
      </c>
      <c r="U51" t="str">
        <f>IF(ISBLANK(Table_1[[#This Row],[Address]]), "Address not Available", Table_1[[#This Row],[Address]])</f>
        <v>Address not Available</v>
      </c>
    </row>
    <row r="52" spans="5:21" ht="14.25" customHeight="1" x14ac:dyDescent="0.3">
      <c r="E52" s="2"/>
      <c r="F52" s="2"/>
      <c r="H52" s="2"/>
      <c r="I52" s="3"/>
      <c r="J52" s="2"/>
      <c r="K52" s="2"/>
      <c r="L52" s="2"/>
      <c r="M52" s="2"/>
      <c r="O52" t="e">
        <f>PROPER(IF(ISBLANK(Table_1[[#This Row],[Name]]),SUBSTITUTE(LEFT(#REF!,FIND("@",#REF!)-1),".", " "),Table_1[[#This Row],[Name]]))</f>
        <v>#REF!</v>
      </c>
      <c r="P52" t="e">
        <f ca="1">IF(ISBLANK(Table_1[[#This Row],[Age]]),ROUNDDOWN(AVERAGE(Table_1[Age]),0), Table_1[[#This Row],[Age]])</f>
        <v>#VALUE!</v>
      </c>
      <c r="S52">
        <f>IF(AND(Table_1[[#This Row],[Name]]&lt;&gt;"", Table_1[[#This Row],[Email]]=""), "support@unmessenger.com", Table_1[[#This Row],[Email]])</f>
        <v>0</v>
      </c>
      <c r="U52" t="str">
        <f>IF(ISBLANK(Table_1[[#This Row],[Address]]), "Address not Available", Table_1[[#This Row],[Address]])</f>
        <v>Address not Available</v>
      </c>
    </row>
    <row r="53" spans="5:21" ht="14.25" customHeight="1" x14ac:dyDescent="0.3">
      <c r="E53" s="2"/>
      <c r="F53" s="2"/>
      <c r="H53" s="2"/>
      <c r="I53" s="3"/>
      <c r="J53" s="2"/>
      <c r="K53" s="2"/>
      <c r="L53" s="2"/>
      <c r="M53" s="2"/>
      <c r="O53" t="str">
        <f>PROPER(IF(ISBLANK(Table_1[[#This Row],[Name]]),SUBSTITUTE(LEFT(J43,FIND("@",J43)-1),".", " "),Table_1[[#This Row],[Name]]))</f>
        <v>Deepika Singh</v>
      </c>
      <c r="P53" t="e">
        <f ca="1">IF(ISBLANK(Table_1[[#This Row],[Age]]),ROUNDDOWN(AVERAGE(Table_1[Age]),0), Table_1[[#This Row],[Age]])</f>
        <v>#VALUE!</v>
      </c>
      <c r="S53">
        <f>IF(AND(Table_1[[#This Row],[Name]]&lt;&gt;"", Table_1[[#This Row],[Email]]=""), "support@unmessenger.com", Table_1[[#This Row],[Email]])</f>
        <v>0</v>
      </c>
      <c r="U53" t="str">
        <f>IF(ISBLANK(Table_1[[#This Row],[Address]]), "Address not Available", Table_1[[#This Row],[Address]])</f>
        <v>Address not Available</v>
      </c>
    </row>
    <row r="54" spans="5:21" ht="14.25" customHeight="1" x14ac:dyDescent="0.3">
      <c r="E54" s="2"/>
      <c r="F54" s="2"/>
      <c r="H54" s="2"/>
      <c r="I54" s="3"/>
      <c r="J54" s="2"/>
      <c r="K54" s="2"/>
      <c r="L54" s="2"/>
      <c r="M54" s="2"/>
      <c r="O54" t="str">
        <f>PROPER(IF(ISBLANK(Table_1[[#This Row],[Name]]),SUBSTITUTE(LEFT(J44,FIND("@",J44)-1),".", " "),Table_1[[#This Row],[Name]]))</f>
        <v>Arjun Singh</v>
      </c>
      <c r="P54" t="e">
        <f ca="1">IF(ISBLANK(Table_1[[#This Row],[Age]]),ROUNDDOWN(AVERAGE(Table_1[Age]),0), Table_1[[#This Row],[Age]])</f>
        <v>#VALUE!</v>
      </c>
      <c r="S54">
        <f>IF(AND(Table_1[[#This Row],[Name]]&lt;&gt;"", Table_1[[#This Row],[Email]]=""), "support@unmessenger.com", Table_1[[#This Row],[Email]])</f>
        <v>0</v>
      </c>
      <c r="U54" t="str">
        <f>IF(ISBLANK(Table_1[[#This Row],[Address]]), "Address not Available", Table_1[[#This Row],[Address]])</f>
        <v>Address not Available</v>
      </c>
    </row>
    <row r="55" spans="5:21" ht="14.25" customHeight="1" x14ac:dyDescent="0.3">
      <c r="E55" s="2"/>
      <c r="F55" s="2"/>
      <c r="H55" s="2"/>
      <c r="I55" s="3"/>
      <c r="J55" s="2"/>
      <c r="K55" s="2"/>
      <c r="L55" s="2"/>
      <c r="M55" s="2"/>
      <c r="O55" t="str">
        <f>PROPER(IF(ISBLANK(Table_1[[#This Row],[Name]]),SUBSTITUTE(LEFT(J45,FIND("@",J45)-1),".", " "),Table_1[[#This Row],[Name]]))</f>
        <v>Rohit Sharma</v>
      </c>
      <c r="P55" t="e">
        <f ca="1">IF(ISBLANK(Table_1[[#This Row],[Age]]),ROUNDDOWN(AVERAGE(Table_1[Age]),0), Table_1[[#This Row],[Age]])</f>
        <v>#VALUE!</v>
      </c>
      <c r="S55">
        <f>IF(AND(Table_1[[#This Row],[Name]]&lt;&gt;"", Table_1[[#This Row],[Email]]=""), "support@unmessenger.com", Table_1[[#This Row],[Email]])</f>
        <v>0</v>
      </c>
      <c r="U55" t="str">
        <f>IF(ISBLANK(Table_1[[#This Row],[Address]]), "Address not Available", Table_1[[#This Row],[Address]])</f>
        <v>Address not Available</v>
      </c>
    </row>
    <row r="56" spans="5:21" ht="14.25" customHeight="1" x14ac:dyDescent="0.3"/>
    <row r="57" spans="5:21" ht="14.25" customHeight="1" x14ac:dyDescent="0.3"/>
    <row r="58" spans="5:21" ht="14.25" customHeight="1" x14ac:dyDescent="0.3"/>
    <row r="59" spans="5:21" ht="14.25" customHeight="1" x14ac:dyDescent="0.3"/>
    <row r="60" spans="5:21" ht="14.25" customHeight="1" x14ac:dyDescent="0.3"/>
    <row r="61" spans="5:21" ht="14.25" customHeight="1" x14ac:dyDescent="0.3"/>
    <row r="62" spans="5:21" ht="14.25" customHeight="1" x14ac:dyDescent="0.3"/>
    <row r="63" spans="5:21" ht="14.25" customHeight="1" x14ac:dyDescent="0.3"/>
    <row r="64" spans="5:21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</sheetData>
  <conditionalFormatting sqref="T9:T10">
    <cfRule type="top10" dxfId="18" priority="13" rank="10"/>
    <cfRule type="top10" dxfId="17" priority="14" rank="10"/>
  </conditionalFormatting>
  <conditionalFormatting sqref="M7">
    <cfRule type="top10" dxfId="16" priority="12" rank="10"/>
  </conditionalFormatting>
  <conditionalFormatting sqref="M8:M55">
    <cfRule type="top10" dxfId="15" priority="11" rank="10"/>
  </conditionalFormatting>
  <conditionalFormatting sqref="M1:M4 M6:M1048576">
    <cfRule type="top10" dxfId="14" priority="10" rank="10"/>
  </conditionalFormatting>
  <conditionalFormatting sqref="I8">
    <cfRule type="colorScale" priority="9">
      <colorScale>
        <cfvo type="min"/>
        <cfvo type="max"/>
        <color rgb="FFFF7128"/>
        <color rgb="FFFFEF9C"/>
      </colorScale>
    </cfRule>
  </conditionalFormatting>
  <conditionalFormatting sqref="O7">
    <cfRule type="top10" dxfId="13" priority="8" rank="10"/>
  </conditionalFormatting>
  <conditionalFormatting sqref="P7">
    <cfRule type="top10" dxfId="12" priority="7" rank="10"/>
  </conditionalFormatting>
  <conditionalFormatting sqref="Q7">
    <cfRule type="top10" dxfId="11" priority="6" rank="10"/>
  </conditionalFormatting>
  <conditionalFormatting sqref="R7">
    <cfRule type="top10" dxfId="10" priority="4" rank="10"/>
  </conditionalFormatting>
  <conditionalFormatting sqref="S7">
    <cfRule type="top10" dxfId="9" priority="3" rank="10"/>
  </conditionalFormatting>
  <conditionalFormatting sqref="T7">
    <cfRule type="top10" dxfId="8" priority="2" rank="10"/>
  </conditionalFormatting>
  <conditionalFormatting sqref="U7">
    <cfRule type="top10" dxfId="7" priority="1" rank="10"/>
  </conditionalFormatting>
  <pageMargins left="0.7" right="0.7" top="0.75" bottom="0.75" header="0" footer="0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71A33B-DBD6-4313-9B4B-5D47AC6405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Final_Clean_Data</vt:lpstr>
      <vt:lpstr>Unmessenger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ACER</cp:lastModifiedBy>
  <dcterms:created xsi:type="dcterms:W3CDTF">2023-04-26T07:21:03Z</dcterms:created>
  <dcterms:modified xsi:type="dcterms:W3CDTF">2024-02-20T15:08:32Z</dcterms:modified>
</cp:coreProperties>
</file>